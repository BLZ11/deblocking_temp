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msharafiq/Desktop/"/>
    </mc:Choice>
  </mc:AlternateContent>
  <xr:revisionPtr revIDLastSave="0" documentId="13_ncr:1_{647FF3EE-16E1-D94E-AE81-EABDAA276002}" xr6:coauthVersionLast="47" xr6:coauthVersionMax="47" xr10:uidLastSave="{00000000-0000-0000-0000-000000000000}"/>
  <bookViews>
    <workbookView xWindow="0" yWindow="680" windowWidth="29400" windowHeight="17240" xr2:uid="{28531E88-ADB7-F74A-805D-F48A7EF1B0D4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3" i="1" l="1"/>
  <c r="AG23" i="1"/>
  <c r="AH23" i="1" s="1"/>
  <c r="AI23" i="1" s="1"/>
  <c r="F23" i="1"/>
  <c r="BG22" i="1"/>
  <c r="BE22" i="1"/>
  <c r="BC22" i="1"/>
  <c r="BA22" i="1"/>
  <c r="AW22" i="1"/>
  <c r="AV22" i="1"/>
  <c r="AO22" i="1"/>
  <c r="AP22" i="1" s="1"/>
  <c r="AG22" i="1"/>
  <c r="AH22" i="1" s="1"/>
  <c r="AI22" i="1" s="1"/>
  <c r="Z22" i="1"/>
  <c r="AA22" i="1" s="1"/>
  <c r="Y22" i="1"/>
  <c r="S22" i="1"/>
  <c r="R22" i="1"/>
  <c r="O22" i="1"/>
  <c r="H22" i="1"/>
  <c r="F22" i="1"/>
  <c r="D22" i="1"/>
  <c r="BL21" i="1"/>
  <c r="BJ21" i="1"/>
  <c r="BG21" i="1"/>
  <c r="BE21" i="1"/>
  <c r="BC21" i="1"/>
  <c r="BA21" i="1"/>
  <c r="AV21" i="1"/>
  <c r="AW21" i="1" s="1"/>
  <c r="AO21" i="1"/>
  <c r="AP21" i="1" s="1"/>
  <c r="AG21" i="1"/>
  <c r="AH21" i="1" s="1"/>
  <c r="AI21" i="1" s="1"/>
  <c r="Z21" i="1"/>
  <c r="AA21" i="1" s="1"/>
  <c r="Y21" i="1"/>
  <c r="R21" i="1"/>
  <c r="S21" i="1" s="1"/>
  <c r="O21" i="1"/>
  <c r="H21" i="1"/>
  <c r="F21" i="1"/>
  <c r="D21" i="1"/>
  <c r="BM20" i="1"/>
  <c r="BL20" i="1"/>
  <c r="BJ20" i="1"/>
  <c r="BG20" i="1"/>
  <c r="BE20" i="1"/>
  <c r="BC20" i="1"/>
  <c r="BA20" i="1"/>
  <c r="AY20" i="1"/>
  <c r="AW20" i="1"/>
  <c r="AV20" i="1"/>
  <c r="AT20" i="1"/>
  <c r="AS20" i="1"/>
  <c r="AR20" i="1"/>
  <c r="AO20" i="1"/>
  <c r="AP20" i="1" s="1"/>
  <c r="AG20" i="1"/>
  <c r="AH20" i="1" s="1"/>
  <c r="AI20" i="1" s="1"/>
  <c r="AE20" i="1"/>
  <c r="AC20" i="1"/>
  <c r="Y20" i="1"/>
  <c r="Z20" i="1" s="1"/>
  <c r="AA20" i="1" s="1"/>
  <c r="W20" i="1"/>
  <c r="U20" i="1"/>
  <c r="R20" i="1"/>
  <c r="S20" i="1" s="1"/>
  <c r="O20" i="1"/>
  <c r="H20" i="1"/>
  <c r="F20" i="1"/>
  <c r="D20" i="1"/>
  <c r="BM19" i="1"/>
  <c r="BL19" i="1"/>
  <c r="BJ19" i="1"/>
  <c r="BG19" i="1"/>
  <c r="BE19" i="1"/>
  <c r="BC19" i="1"/>
  <c r="BA19" i="1"/>
  <c r="AY19" i="1"/>
  <c r="AV19" i="1"/>
  <c r="AW19" i="1" s="1"/>
  <c r="AS19" i="1"/>
  <c r="AT19" i="1" s="1"/>
  <c r="AR19" i="1"/>
  <c r="AP19" i="1"/>
  <c r="AO19" i="1"/>
  <c r="AG19" i="1"/>
  <c r="AH19" i="1" s="1"/>
  <c r="AI19" i="1" s="1"/>
  <c r="AE19" i="1"/>
  <c r="AC19" i="1"/>
  <c r="Y19" i="1"/>
  <c r="Z19" i="1" s="1"/>
  <c r="AA19" i="1" s="1"/>
  <c r="W19" i="1"/>
  <c r="U19" i="1"/>
  <c r="R19" i="1"/>
  <c r="S19" i="1" s="1"/>
  <c r="O19" i="1"/>
  <c r="H19" i="1"/>
  <c r="F19" i="1"/>
  <c r="D19" i="1"/>
  <c r="BM18" i="1"/>
  <c r="BL18" i="1"/>
  <c r="BJ18" i="1"/>
  <c r="BG18" i="1"/>
  <c r="BE18" i="1"/>
  <c r="BC18" i="1"/>
  <c r="BA18" i="1"/>
  <c r="AY18" i="1"/>
  <c r="AW18" i="1"/>
  <c r="AV18" i="1"/>
  <c r="AS18" i="1"/>
  <c r="AT18" i="1" s="1"/>
  <c r="AR18" i="1"/>
  <c r="AO18" i="1"/>
  <c r="AP18" i="1" s="1"/>
  <c r="AH18" i="1"/>
  <c r="AI18" i="1" s="1"/>
  <c r="AG18" i="1"/>
  <c r="AE18" i="1"/>
  <c r="AC18" i="1"/>
  <c r="Y18" i="1"/>
  <c r="Z18" i="1" s="1"/>
  <c r="AA18" i="1" s="1"/>
  <c r="W18" i="1"/>
  <c r="U18" i="1"/>
  <c r="R18" i="1"/>
  <c r="S18" i="1" s="1"/>
  <c r="O18" i="1"/>
  <c r="H18" i="1"/>
  <c r="F18" i="1"/>
  <c r="D18" i="1"/>
  <c r="BM17" i="1"/>
  <c r="BL17" i="1"/>
  <c r="BJ17" i="1"/>
  <c r="BG17" i="1"/>
  <c r="BE17" i="1"/>
  <c r="BC17" i="1"/>
  <c r="BA17" i="1"/>
  <c r="AY17" i="1"/>
  <c r="AV17" i="1"/>
  <c r="AW17" i="1" s="1"/>
  <c r="AS17" i="1"/>
  <c r="AT17" i="1" s="1"/>
  <c r="AR17" i="1"/>
  <c r="AO17" i="1"/>
  <c r="AP17" i="1" s="1"/>
  <c r="AG17" i="1"/>
  <c r="AH17" i="1" s="1"/>
  <c r="AI17" i="1" s="1"/>
  <c r="AE17" i="1"/>
  <c r="AC17" i="1"/>
  <c r="Y17" i="1"/>
  <c r="Z17" i="1" s="1"/>
  <c r="AA17" i="1" s="1"/>
  <c r="W17" i="1"/>
  <c r="U17" i="1"/>
  <c r="S17" i="1"/>
  <c r="R17" i="1"/>
  <c r="O17" i="1"/>
  <c r="H17" i="1"/>
  <c r="F17" i="1"/>
  <c r="D17" i="1"/>
  <c r="BM16" i="1"/>
  <c r="BL16" i="1"/>
  <c r="BJ16" i="1"/>
  <c r="BG16" i="1"/>
  <c r="BE16" i="1"/>
  <c r="BC16" i="1"/>
  <c r="BA16" i="1"/>
  <c r="AY16" i="1"/>
  <c r="AW16" i="1"/>
  <c r="AV16" i="1"/>
  <c r="AS16" i="1"/>
  <c r="AT16" i="1" s="1"/>
  <c r="AR16" i="1"/>
  <c r="AO16" i="1"/>
  <c r="AP16" i="1" s="1"/>
  <c r="AG16" i="1"/>
  <c r="AH16" i="1" s="1"/>
  <c r="AI16" i="1" s="1"/>
  <c r="AE16" i="1"/>
  <c r="AC16" i="1"/>
  <c r="Y16" i="1"/>
  <c r="Z16" i="1" s="1"/>
  <c r="AA16" i="1" s="1"/>
  <c r="W16" i="1"/>
  <c r="U16" i="1"/>
  <c r="R16" i="1"/>
  <c r="S16" i="1" s="1"/>
  <c r="O16" i="1"/>
  <c r="H16" i="1"/>
  <c r="F16" i="1"/>
  <c r="D16" i="1"/>
  <c r="BL15" i="1"/>
  <c r="BJ15" i="1"/>
  <c r="BG15" i="1"/>
  <c r="BE15" i="1"/>
  <c r="BC15" i="1"/>
  <c r="BA15" i="1"/>
  <c r="AY15" i="1"/>
  <c r="AV15" i="1"/>
  <c r="AW15" i="1" s="1"/>
  <c r="AS15" i="1"/>
  <c r="AT15" i="1" s="1"/>
  <c r="AR15" i="1"/>
  <c r="AO15" i="1"/>
  <c r="AP15" i="1" s="1"/>
  <c r="AG15" i="1"/>
  <c r="AH15" i="1" s="1"/>
  <c r="AI15" i="1" s="1"/>
  <c r="AE15" i="1"/>
  <c r="AC15" i="1"/>
  <c r="Y15" i="1"/>
  <c r="Z15" i="1" s="1"/>
  <c r="AA15" i="1" s="1"/>
  <c r="W15" i="1"/>
  <c r="U15" i="1"/>
  <c r="R15" i="1"/>
  <c r="S15" i="1" s="1"/>
  <c r="O15" i="1"/>
  <c r="H15" i="1"/>
  <c r="F15" i="1"/>
  <c r="D15" i="1"/>
  <c r="BL14" i="1"/>
  <c r="BJ14" i="1"/>
  <c r="BG14" i="1"/>
  <c r="BE14" i="1"/>
  <c r="BC14" i="1"/>
  <c r="BA14" i="1"/>
  <c r="AY14" i="1"/>
  <c r="AV14" i="1"/>
  <c r="AW14" i="1" s="1"/>
  <c r="AS14" i="1"/>
  <c r="AT14" i="1" s="1"/>
  <c r="AR14" i="1"/>
  <c r="AO14" i="1"/>
  <c r="AP14" i="1" s="1"/>
  <c r="AG14" i="1"/>
  <c r="AH14" i="1" s="1"/>
  <c r="AI14" i="1" s="1"/>
  <c r="AE14" i="1"/>
  <c r="AC14" i="1"/>
  <c r="Y14" i="1"/>
  <c r="Z14" i="1" s="1"/>
  <c r="AA14" i="1" s="1"/>
  <c r="W14" i="1"/>
  <c r="U14" i="1"/>
  <c r="R14" i="1"/>
  <c r="S14" i="1" s="1"/>
  <c r="O14" i="1"/>
  <c r="H14" i="1"/>
  <c r="F14" i="1"/>
  <c r="D14" i="1"/>
  <c r="BL13" i="1"/>
  <c r="BJ13" i="1"/>
  <c r="BG13" i="1"/>
  <c r="BE13" i="1"/>
  <c r="BC13" i="1"/>
  <c r="BA13" i="1"/>
  <c r="AY13" i="1"/>
  <c r="AW13" i="1"/>
  <c r="AV13" i="1"/>
  <c r="AS13" i="1"/>
  <c r="AT13" i="1" s="1"/>
  <c r="AR13" i="1"/>
  <c r="AO13" i="1"/>
  <c r="AP13" i="1" s="1"/>
  <c r="AG13" i="1"/>
  <c r="AH13" i="1" s="1"/>
  <c r="AI13" i="1" s="1"/>
  <c r="AE13" i="1"/>
  <c r="AC13" i="1"/>
  <c r="Y13" i="1"/>
  <c r="Z13" i="1" s="1"/>
  <c r="AA13" i="1" s="1"/>
  <c r="W13" i="1"/>
  <c r="U13" i="1"/>
  <c r="R13" i="1"/>
  <c r="S13" i="1" s="1"/>
  <c r="O13" i="1"/>
  <c r="H13" i="1"/>
  <c r="F13" i="1"/>
  <c r="D13" i="1"/>
  <c r="BL12" i="1"/>
  <c r="BJ12" i="1"/>
  <c r="BG12" i="1"/>
  <c r="BE12" i="1"/>
  <c r="BC12" i="1"/>
  <c r="BA12" i="1"/>
  <c r="AY12" i="1"/>
  <c r="AV12" i="1"/>
  <c r="AW12" i="1" s="1"/>
  <c r="AS12" i="1"/>
  <c r="AT12" i="1" s="1"/>
  <c r="AR12" i="1"/>
  <c r="AO12" i="1"/>
  <c r="AP12" i="1" s="1"/>
  <c r="AG12" i="1"/>
  <c r="AH12" i="1" s="1"/>
  <c r="AI12" i="1" s="1"/>
  <c r="AE12" i="1"/>
  <c r="AC12" i="1"/>
  <c r="Y12" i="1"/>
  <c r="Z12" i="1" s="1"/>
  <c r="AA12" i="1" s="1"/>
  <c r="W12" i="1"/>
  <c r="U12" i="1"/>
  <c r="R12" i="1"/>
  <c r="S12" i="1" s="1"/>
  <c r="O12" i="1"/>
  <c r="H12" i="1"/>
  <c r="F12" i="1"/>
  <c r="D12" i="1"/>
  <c r="BL11" i="1"/>
  <c r="BJ11" i="1"/>
  <c r="BG11" i="1"/>
  <c r="BE11" i="1"/>
  <c r="BC11" i="1"/>
  <c r="BA11" i="1"/>
  <c r="AY11" i="1"/>
  <c r="AW11" i="1"/>
  <c r="AV11" i="1"/>
  <c r="AS11" i="1"/>
  <c r="AT11" i="1" s="1"/>
  <c r="AR11" i="1"/>
  <c r="AO11" i="1"/>
  <c r="AP11" i="1" s="1"/>
  <c r="AG11" i="1"/>
  <c r="AH11" i="1" s="1"/>
  <c r="AI11" i="1" s="1"/>
  <c r="AE11" i="1"/>
  <c r="AC11" i="1"/>
  <c r="Y11" i="1"/>
  <c r="Z11" i="1" s="1"/>
  <c r="AA11" i="1" s="1"/>
  <c r="W11" i="1"/>
  <c r="U11" i="1"/>
  <c r="R11" i="1"/>
  <c r="S11" i="1" s="1"/>
  <c r="O11" i="1"/>
  <c r="H11" i="1"/>
  <c r="F11" i="1"/>
  <c r="D11" i="1"/>
  <c r="BM10" i="1"/>
  <c r="BL10" i="1"/>
  <c r="BJ10" i="1"/>
  <c r="BG10" i="1"/>
  <c r="BE10" i="1"/>
  <c r="BC10" i="1"/>
  <c r="BA10" i="1"/>
  <c r="AY10" i="1"/>
  <c r="AV10" i="1"/>
  <c r="AW10" i="1" s="1"/>
  <c r="AS10" i="1"/>
  <c r="AT10" i="1" s="1"/>
  <c r="AR10" i="1"/>
  <c r="AO10" i="1"/>
  <c r="AP10" i="1" s="1"/>
  <c r="AG10" i="1"/>
  <c r="AH10" i="1" s="1"/>
  <c r="AI10" i="1" s="1"/>
  <c r="AE10" i="1"/>
  <c r="AC10" i="1"/>
  <c r="Y10" i="1"/>
  <c r="Z10" i="1" s="1"/>
  <c r="AA10" i="1" s="1"/>
  <c r="W10" i="1"/>
  <c r="U10" i="1"/>
  <c r="S10" i="1"/>
  <c r="R10" i="1"/>
  <c r="O10" i="1"/>
  <c r="H10" i="1"/>
  <c r="F10" i="1"/>
  <c r="D10" i="1"/>
  <c r="BM9" i="1"/>
  <c r="BL9" i="1"/>
  <c r="BJ9" i="1"/>
  <c r="BG9" i="1"/>
  <c r="BE9" i="1"/>
  <c r="BC9" i="1"/>
  <c r="BA9" i="1"/>
  <c r="AY9" i="1"/>
  <c r="AV9" i="1"/>
  <c r="AW9" i="1" s="1"/>
  <c r="AS9" i="1"/>
  <c r="AT9" i="1" s="1"/>
  <c r="AR9" i="1"/>
  <c r="AO9" i="1"/>
  <c r="AP9" i="1" s="1"/>
  <c r="AG9" i="1"/>
  <c r="AH9" i="1" s="1"/>
  <c r="AI9" i="1" s="1"/>
  <c r="AE9" i="1"/>
  <c r="AC9" i="1"/>
  <c r="Y9" i="1"/>
  <c r="Z9" i="1" s="1"/>
  <c r="AA9" i="1" s="1"/>
  <c r="W9" i="1"/>
  <c r="U9" i="1"/>
  <c r="R9" i="1"/>
  <c r="S9" i="1" s="1"/>
  <c r="O9" i="1"/>
  <c r="H9" i="1"/>
  <c r="F9" i="1"/>
  <c r="D9" i="1"/>
  <c r="BM8" i="1"/>
  <c r="BL8" i="1"/>
  <c r="BJ8" i="1"/>
  <c r="BG8" i="1"/>
  <c r="BE8" i="1"/>
  <c r="BC8" i="1"/>
  <c r="BA8" i="1"/>
  <c r="AY8" i="1"/>
  <c r="AV8" i="1"/>
  <c r="AW8" i="1" s="1"/>
  <c r="AS8" i="1"/>
  <c r="AT8" i="1" s="1"/>
  <c r="AR8" i="1"/>
  <c r="AO8" i="1"/>
  <c r="AP8" i="1" s="1"/>
  <c r="AG8" i="1"/>
  <c r="AH8" i="1" s="1"/>
  <c r="AI8" i="1" s="1"/>
  <c r="AE8" i="1"/>
  <c r="AC8" i="1"/>
  <c r="Y8" i="1"/>
  <c r="Z8" i="1" s="1"/>
  <c r="AA8" i="1" s="1"/>
  <c r="W8" i="1"/>
  <c r="U8" i="1"/>
  <c r="R8" i="1"/>
  <c r="S8" i="1" s="1"/>
  <c r="O8" i="1"/>
  <c r="H8" i="1"/>
  <c r="F8" i="1"/>
  <c r="D8" i="1"/>
  <c r="BM7" i="1"/>
  <c r="BL7" i="1"/>
  <c r="BJ7" i="1"/>
  <c r="BG7" i="1"/>
  <c r="BE7" i="1"/>
  <c r="BC7" i="1"/>
  <c r="BA7" i="1"/>
  <c r="AY7" i="1"/>
  <c r="AV7" i="1"/>
  <c r="AW7" i="1" s="1"/>
  <c r="AS7" i="1"/>
  <c r="AT7" i="1" s="1"/>
  <c r="AR7" i="1"/>
  <c r="AP7" i="1"/>
  <c r="AO7" i="1"/>
  <c r="AG7" i="1"/>
  <c r="AH7" i="1" s="1"/>
  <c r="AI7" i="1" s="1"/>
  <c r="AE7" i="1"/>
  <c r="AC7" i="1"/>
  <c r="Y7" i="1"/>
  <c r="Z7" i="1" s="1"/>
  <c r="AA7" i="1" s="1"/>
  <c r="W7" i="1"/>
  <c r="U7" i="1"/>
  <c r="R7" i="1"/>
  <c r="S7" i="1" s="1"/>
  <c r="O7" i="1"/>
  <c r="H7" i="1"/>
  <c r="F7" i="1"/>
  <c r="D7" i="1"/>
  <c r="BM6" i="1"/>
  <c r="BL6" i="1"/>
  <c r="BJ6" i="1"/>
  <c r="BG6" i="1"/>
  <c r="BE6" i="1"/>
  <c r="BC6" i="1"/>
  <c r="BA6" i="1"/>
  <c r="AY6" i="1"/>
  <c r="AV6" i="1"/>
  <c r="AW6" i="1" s="1"/>
  <c r="AS6" i="1"/>
  <c r="AT6" i="1" s="1"/>
  <c r="AR6" i="1"/>
  <c r="AP6" i="1"/>
  <c r="AO6" i="1"/>
  <c r="AG6" i="1"/>
  <c r="AH6" i="1" s="1"/>
  <c r="AI6" i="1" s="1"/>
  <c r="AE6" i="1"/>
  <c r="AC6" i="1"/>
  <c r="Y6" i="1"/>
  <c r="Z6" i="1" s="1"/>
  <c r="AA6" i="1" s="1"/>
  <c r="W6" i="1"/>
  <c r="U6" i="1"/>
  <c r="R6" i="1"/>
  <c r="S6" i="1" s="1"/>
  <c r="O6" i="1"/>
  <c r="H6" i="1"/>
  <c r="F6" i="1"/>
  <c r="D6" i="1"/>
  <c r="BM5" i="1"/>
  <c r="BL5" i="1"/>
  <c r="BJ5" i="1"/>
  <c r="BG5" i="1"/>
  <c r="BE5" i="1"/>
  <c r="BC5" i="1"/>
  <c r="BA5" i="1"/>
  <c r="AY5" i="1"/>
  <c r="AV5" i="1"/>
  <c r="AW5" i="1" s="1"/>
  <c r="AS5" i="1"/>
  <c r="AT5" i="1" s="1"/>
  <c r="AR5" i="1"/>
  <c r="AP5" i="1"/>
  <c r="AO5" i="1"/>
  <c r="AG5" i="1"/>
  <c r="AH5" i="1" s="1"/>
  <c r="AI5" i="1" s="1"/>
  <c r="AE5" i="1"/>
  <c r="AC5" i="1"/>
  <c r="Y5" i="1"/>
  <c r="Z5" i="1" s="1"/>
  <c r="AA5" i="1" s="1"/>
  <c r="W5" i="1"/>
  <c r="U5" i="1"/>
  <c r="R5" i="1"/>
  <c r="S5" i="1" s="1"/>
  <c r="O5" i="1"/>
  <c r="H5" i="1"/>
  <c r="F5" i="1"/>
  <c r="D5" i="1"/>
  <c r="BL4" i="1"/>
  <c r="BJ4" i="1"/>
  <c r="BG4" i="1"/>
  <c r="BE4" i="1"/>
  <c r="BC4" i="1"/>
  <c r="BA4" i="1"/>
  <c r="AY4" i="1"/>
  <c r="AV4" i="1"/>
  <c r="AW4" i="1" s="1"/>
  <c r="AS4" i="1"/>
  <c r="AT4" i="1" s="1"/>
  <c r="AR4" i="1"/>
  <c r="AO4" i="1"/>
  <c r="AP4" i="1" s="1"/>
  <c r="AG4" i="1"/>
  <c r="AH4" i="1" s="1"/>
  <c r="AI4" i="1" s="1"/>
  <c r="AE4" i="1"/>
  <c r="AC4" i="1"/>
  <c r="Y4" i="1"/>
  <c r="Z4" i="1" s="1"/>
  <c r="AA4" i="1" s="1"/>
  <c r="W4" i="1"/>
  <c r="U4" i="1"/>
  <c r="R4" i="1"/>
  <c r="S4" i="1" s="1"/>
  <c r="O4" i="1"/>
  <c r="H4" i="1"/>
  <c r="F4" i="1"/>
  <c r="D4" i="1"/>
  <c r="BL3" i="1"/>
  <c r="BJ3" i="1"/>
  <c r="BG3" i="1"/>
  <c r="BE3" i="1"/>
  <c r="BC3" i="1"/>
  <c r="BA3" i="1"/>
  <c r="AY3" i="1"/>
  <c r="AV3" i="1"/>
  <c r="AW3" i="1" s="1"/>
  <c r="AS3" i="1"/>
  <c r="AT3" i="1" s="1"/>
  <c r="AR3" i="1"/>
  <c r="AO3" i="1"/>
  <c r="AP3" i="1" s="1"/>
  <c r="AG3" i="1"/>
  <c r="AH3" i="1" s="1"/>
  <c r="AI3" i="1" s="1"/>
  <c r="AE3" i="1"/>
  <c r="AC3" i="1"/>
  <c r="Y3" i="1"/>
  <c r="Z3" i="1" s="1"/>
  <c r="AA3" i="1" s="1"/>
  <c r="W3" i="1"/>
  <c r="U3" i="1"/>
  <c r="R3" i="1"/>
  <c r="S3" i="1" s="1"/>
  <c r="O3" i="1"/>
  <c r="H3" i="1"/>
  <c r="F3" i="1"/>
  <c r="D3" i="1"/>
  <c r="BL2" i="1"/>
  <c r="BJ2" i="1"/>
  <c r="BG2" i="1"/>
  <c r="BE2" i="1"/>
  <c r="BC2" i="1"/>
  <c r="BA2" i="1"/>
  <c r="AY2" i="1"/>
  <c r="AV2" i="1"/>
  <c r="AW2" i="1" s="1"/>
  <c r="AS2" i="1"/>
  <c r="AT2" i="1" s="1"/>
  <c r="AR2" i="1"/>
  <c r="AO2" i="1"/>
  <c r="AP2" i="1" s="1"/>
  <c r="AG2" i="1"/>
  <c r="AH2" i="1" s="1"/>
  <c r="AI2" i="1" s="1"/>
  <c r="AE2" i="1"/>
  <c r="AC2" i="1"/>
  <c r="Z2" i="1"/>
  <c r="AA2" i="1" s="1"/>
  <c r="Y2" i="1"/>
  <c r="W2" i="1"/>
  <c r="U2" i="1"/>
  <c r="R2" i="1"/>
  <c r="S2" i="1" s="1"/>
  <c r="O2" i="1"/>
  <c r="H2" i="1"/>
  <c r="F2" i="1"/>
  <c r="D2" i="1"/>
</calcChain>
</file>

<file path=xl/sharedStrings.xml><?xml version="1.0" encoding="utf-8"?>
<sst xmlns="http://schemas.openxmlformats.org/spreadsheetml/2006/main" count="174" uniqueCount="95">
  <si>
    <t>Capping agent</t>
  </si>
  <si>
    <t>Tdeblock</t>
  </si>
  <si>
    <t>Tdeblock (K)</t>
  </si>
  <si>
    <t>Radius of Gyration (A)</t>
  </si>
  <si>
    <t>Radius of Gyration (m)</t>
  </si>
  <si>
    <t>Molar Volume (cm3/mol)</t>
  </si>
  <si>
    <t>Molar Volume (m3/mol)</t>
  </si>
  <si>
    <t>Chain Length Alcohol</t>
  </si>
  <si>
    <t>Chain Length Amine</t>
  </si>
  <si>
    <t>Aromatic/Aliphatic</t>
  </si>
  <si>
    <t>things connected to active H</t>
  </si>
  <si>
    <t>Carbon Number</t>
  </si>
  <si>
    <t>delH</t>
  </si>
  <si>
    <t>delH (Jmol)</t>
  </si>
  <si>
    <t>pKa</t>
  </si>
  <si>
    <t>Nucleophilicity Index (cap)</t>
  </si>
  <si>
    <t>Nucleophilicity kcalmol</t>
  </si>
  <si>
    <t>N (Jmol)</t>
  </si>
  <si>
    <t>homo b3lyp cap bef</t>
  </si>
  <si>
    <t>homo b3lyp cap</t>
  </si>
  <si>
    <t>lumo b3lyp cap bef</t>
  </si>
  <si>
    <t>lumo b3lyp cap</t>
  </si>
  <si>
    <t>homo lumo energy gap cap bef</t>
  </si>
  <si>
    <t>homo lumo energy gap cap</t>
  </si>
  <si>
    <t>homo lumo energy gap cap kcalmol</t>
  </si>
  <si>
    <t>homo lumo energy gap cap (Jmol)</t>
  </si>
  <si>
    <t>homo b3lyp adduct bef</t>
  </si>
  <si>
    <t>homo b3lyp adduct</t>
  </si>
  <si>
    <t>lumo b3lyp adduct bef</t>
  </si>
  <si>
    <t xml:space="preserve">lumo b3lyp adduct </t>
  </si>
  <si>
    <t>homo lumo energy gap adduct bef</t>
  </si>
  <si>
    <t>homo lumo energy gap adduct</t>
  </si>
  <si>
    <t>homo lumo energy gap adduct kcalmol</t>
  </si>
  <si>
    <t>homo lumo energy gap adduct (Jmol)</t>
  </si>
  <si>
    <t>Urethane Cat</t>
  </si>
  <si>
    <t>Urea Cat</t>
  </si>
  <si>
    <t>Urethane/Urea</t>
  </si>
  <si>
    <t>Gross bond 1 bef</t>
  </si>
  <si>
    <t>Gross bond 1</t>
  </si>
  <si>
    <t>Gross bond 1 (Jmol)</t>
  </si>
  <si>
    <t>Net bond 1 bef</t>
  </si>
  <si>
    <t>Net bond 1</t>
  </si>
  <si>
    <t>GrossNetDiff bef</t>
  </si>
  <si>
    <t>GrossNetDiff</t>
  </si>
  <si>
    <t>Gross bond 2 bef</t>
  </si>
  <si>
    <t>Gross bond 2</t>
  </si>
  <si>
    <t>Gross bond 2 (Jmol)</t>
  </si>
  <si>
    <t>Net bond 2 bef</t>
  </si>
  <si>
    <t>Net bond 2</t>
  </si>
  <si>
    <t>C_hyb_bond 1</t>
  </si>
  <si>
    <t>C_hyb_bond 1 (Jmol)</t>
  </si>
  <si>
    <t>N/O - H hyb (adduct)</t>
  </si>
  <si>
    <t>N/O - H hyb (adduct) (Jmol)</t>
  </si>
  <si>
    <t>N/O - H hyb (cap)</t>
  </si>
  <si>
    <t>N/O - H hyb (cap) (Jmol)</t>
  </si>
  <si>
    <t>N Hyb Bond 2</t>
  </si>
  <si>
    <t>N Hyb Bond 2 (Jmol)</t>
  </si>
  <si>
    <t>Resonance adduct</t>
  </si>
  <si>
    <t>Resonance adduct (Jmol)</t>
  </si>
  <si>
    <t>Resonance cap</t>
  </si>
  <si>
    <t>Resonance cap (Jmol)</t>
  </si>
  <si>
    <t>Resonance difference</t>
  </si>
  <si>
    <t>Alfabet adduct</t>
  </si>
  <si>
    <t>R</t>
  </si>
  <si>
    <t>Q</t>
  </si>
  <si>
    <t>butylamine</t>
  </si>
  <si>
    <t>aliphatic</t>
  </si>
  <si>
    <t>urea</t>
  </si>
  <si>
    <t>hexylamine</t>
  </si>
  <si>
    <t>decylamine</t>
  </si>
  <si>
    <t>benzotriazole</t>
  </si>
  <si>
    <t>aromatic</t>
  </si>
  <si>
    <t>pyrazole</t>
  </si>
  <si>
    <t>Bond 1</t>
  </si>
  <si>
    <t>C-N</t>
  </si>
  <si>
    <t>N-methylaniline</t>
  </si>
  <si>
    <t>C-O</t>
  </si>
  <si>
    <t>1,2,4 triazole</t>
  </si>
  <si>
    <t>Bond 2</t>
  </si>
  <si>
    <t>N-H</t>
  </si>
  <si>
    <t>3 methyl pyrazole</t>
  </si>
  <si>
    <t>acetone oxime</t>
  </si>
  <si>
    <t>urethane</t>
  </si>
  <si>
    <t>butanol</t>
  </si>
  <si>
    <t>hexanol</t>
  </si>
  <si>
    <t>Ethanol</t>
  </si>
  <si>
    <t>decanol</t>
  </si>
  <si>
    <t>cyclohexanol</t>
  </si>
  <si>
    <t>phenol</t>
  </si>
  <si>
    <t>acetophenone oxime</t>
  </si>
  <si>
    <t>benzyl alcohol</t>
  </si>
  <si>
    <t>2-phenylethanol</t>
  </si>
  <si>
    <t>2-(1-Napthyl)ethanol</t>
  </si>
  <si>
    <t>Octanone Oxime</t>
  </si>
  <si>
    <t>2Hydroxyethylmethacrylate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</si>
</sst>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Helvetica Neue"/>
      <family val="2"/>
    </font>
    <font>
      <sz val="7.5"/>
      <color rgb="FF000000"/>
      <name val="Helvetica Neue"/>
      <family val="2"/>
    </font>
    <font>
      <sz val="10"/>
      <color rgb="FF000000"/>
      <name val="Helvetica Neue"/>
      <family val="2"/>
    </font>
    <font>
      <sz val="14"/>
      <color rgb="FF000000"/>
      <name val="Courier New"/>
      <family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1" fontId="2" fillId="2" borderId="0" xfId="0" applyNumberFormat="1" applyFont="1" applyFill="1"/>
    <xf numFmtId="0" fontId="3" fillId="0" borderId="0" xfId="0" applyFont="1"/>
    <xf numFmtId="0" fontId="3" fillId="3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2" borderId="0" xfId="0" applyFont="1" applyFill="1"/>
    <xf numFmtId="11" fontId="1" fillId="2" borderId="0" xfId="0" applyNumberFormat="1" applyFont="1" applyFill="1"/>
    <xf numFmtId="0" fontId="4" fillId="0" borderId="0" xfId="0" applyFont="1"/>
    <xf numFmtId="0" fontId="5" fillId="0" borderId="0" xfId="0" applyFont="1"/>
    <xf numFmtId="0" fontId="5" fillId="3" borderId="0" xfId="0" applyFont="1" applyFill="1"/>
    <xf numFmtId="0" fontId="0" fillId="3" borderId="0" xfId="0" applyFill="1"/>
    <xf numFmtId="0" fontId="0" fillId="4" borderId="0" xfId="0" applyFill="1"/>
    <xf numFmtId="0" fontId="1" fillId="3" borderId="0" xfId="0" applyFont="1" applyFill="1"/>
    <xf numFmtId="2" fontId="0" fillId="0" borderId="0" xfId="0" applyNumberFormat="1" applyAlignment="1">
      <alignment vertical="top"/>
    </xf>
    <xf numFmtId="0" fontId="6" fillId="0" borderId="0" xfId="0" applyFont="1"/>
    <xf numFmtId="0" fontId="7" fillId="0" borderId="0" xfId="0" applyFon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B24ED-B40F-484F-9F0E-50060A54BB4C}">
  <dimension ref="A1:BV25"/>
  <sheetViews>
    <sheetView tabSelected="1" topLeftCell="BE1" workbookViewId="0">
      <selection activeCell="BN2" sqref="BN2"/>
    </sheetView>
  </sheetViews>
  <sheetFormatPr baseColWidth="10" defaultRowHeight="16" x14ac:dyDescent="0.2"/>
  <cols>
    <col min="2" max="2" width="17.5" customWidth="1"/>
    <col min="3" max="3" width="19.83203125" customWidth="1"/>
    <col min="4" max="4" width="15.6640625" customWidth="1"/>
    <col min="5" max="5" width="27" style="20" customWidth="1"/>
    <col min="6" max="6" width="27.33203125" style="20" customWidth="1"/>
    <col min="7" max="7" width="26" style="20" customWidth="1"/>
    <col min="8" max="8" width="24.1640625" style="21" customWidth="1"/>
    <col min="9" max="9" width="21" customWidth="1"/>
    <col min="12" max="12" width="22.1640625" customWidth="1"/>
    <col min="14" max="15" width="18" customWidth="1"/>
    <col min="17" max="17" width="13.1640625" customWidth="1"/>
    <col min="20" max="20" width="18.6640625" customWidth="1"/>
    <col min="21" max="21" width="17.33203125" customWidth="1"/>
    <col min="22" max="22" width="18.5" customWidth="1"/>
    <col min="23" max="23" width="16.5" customWidth="1"/>
    <col min="24" max="24" width="25" customWidth="1"/>
    <col min="25" max="26" width="14.6640625" customWidth="1"/>
    <col min="27" max="27" width="14.6640625" style="14" customWidth="1"/>
    <col min="40" max="40" width="23.5" customWidth="1"/>
    <col min="41" max="41" width="18.5" customWidth="1"/>
    <col min="42" max="42" width="22.1640625" style="14" customWidth="1"/>
    <col min="49" max="49" width="18.83203125" customWidth="1"/>
    <col min="52" max="53" width="21.5" style="15" customWidth="1"/>
    <col min="54" max="55" width="17.6640625" style="15" customWidth="1"/>
    <col min="56" max="57" width="20.83203125" style="15" customWidth="1"/>
    <col min="58" max="59" width="15.83203125" style="15" customWidth="1"/>
    <col min="61" max="61" width="17.33203125" customWidth="1"/>
    <col min="62" max="62" width="10.83203125" style="14"/>
    <col min="63" max="63" width="16" customWidth="1"/>
    <col min="64" max="64" width="10.83203125" style="14"/>
    <col min="66" max="66" width="15.1640625" customWidth="1"/>
  </cols>
  <sheetData>
    <row r="1" spans="1:74" x14ac:dyDescent="0.2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6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2" t="s">
        <v>36</v>
      </c>
      <c r="AM1" s="2" t="s">
        <v>9</v>
      </c>
      <c r="AN1" s="2" t="s">
        <v>37</v>
      </c>
      <c r="AO1" s="2" t="s">
        <v>38</v>
      </c>
      <c r="AP1" s="7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8" t="s">
        <v>49</v>
      </c>
      <c r="BA1" s="8" t="s">
        <v>50</v>
      </c>
      <c r="BB1" s="8" t="s">
        <v>51</v>
      </c>
      <c r="BC1" s="8" t="s">
        <v>52</v>
      </c>
      <c r="BD1" s="8" t="s">
        <v>53</v>
      </c>
      <c r="BE1" s="8" t="s">
        <v>54</v>
      </c>
      <c r="BF1" s="8" t="s">
        <v>55</v>
      </c>
      <c r="BG1" s="8" t="s">
        <v>56</v>
      </c>
      <c r="BH1" s="2" t="s">
        <v>0</v>
      </c>
      <c r="BI1" s="2" t="s">
        <v>57</v>
      </c>
      <c r="BJ1" s="7" t="s">
        <v>58</v>
      </c>
      <c r="BK1" s="2" t="s">
        <v>59</v>
      </c>
      <c r="BL1" s="7" t="s">
        <v>60</v>
      </c>
      <c r="BM1" s="2" t="s">
        <v>61</v>
      </c>
      <c r="BN1" s="2" t="s">
        <v>62</v>
      </c>
      <c r="BO1" s="2" t="s">
        <v>63</v>
      </c>
      <c r="BP1" s="2" t="s">
        <v>64</v>
      </c>
    </row>
    <row r="2" spans="1:74" x14ac:dyDescent="0.2">
      <c r="A2" s="1">
        <v>1</v>
      </c>
      <c r="B2" s="1" t="s">
        <v>65</v>
      </c>
      <c r="C2" s="1">
        <v>244</v>
      </c>
      <c r="D2" s="1">
        <f>C2+273.15</f>
        <v>517.15</v>
      </c>
      <c r="E2" s="9">
        <v>1.9437</v>
      </c>
      <c r="F2" s="9">
        <f>E2*(10^-10)</f>
        <v>1.9437E-10</v>
      </c>
      <c r="G2" s="9">
        <v>14.43</v>
      </c>
      <c r="H2" s="10">
        <f>G2*10^(-6)</f>
        <v>1.4429999999999999E-5</v>
      </c>
      <c r="I2" s="1">
        <v>0</v>
      </c>
      <c r="J2" s="1">
        <v>1</v>
      </c>
      <c r="K2" s="1" t="s">
        <v>66</v>
      </c>
      <c r="L2" s="1">
        <v>4</v>
      </c>
      <c r="M2" s="1">
        <v>4</v>
      </c>
      <c r="N2" s="11">
        <v>397.68922907680002</v>
      </c>
      <c r="O2" s="11">
        <f>N2*4184</f>
        <v>1663931.7344573312</v>
      </c>
      <c r="P2" s="1">
        <v>10.78</v>
      </c>
      <c r="Q2" s="1">
        <v>2.96</v>
      </c>
      <c r="R2" s="1">
        <f>Q2*23.0605</f>
        <v>68.259079999999997</v>
      </c>
      <c r="S2" s="1">
        <f>R2*4184</f>
        <v>285595.99072</v>
      </c>
      <c r="T2" s="12">
        <v>-6.4049251800000002</v>
      </c>
      <c r="U2" s="12">
        <f>ABS(T2)</f>
        <v>6.4049251800000002</v>
      </c>
      <c r="V2" s="12">
        <v>1.1406851200000001</v>
      </c>
      <c r="W2" s="12">
        <f>-1*V2</f>
        <v>-1.1406851200000001</v>
      </c>
      <c r="X2" s="12">
        <v>-7.5456102999999999</v>
      </c>
      <c r="Y2" s="12">
        <f>-1*X2</f>
        <v>7.5456102999999999</v>
      </c>
      <c r="Z2" s="12">
        <f>Y2*23.0605</f>
        <v>174.00554632315001</v>
      </c>
      <c r="AA2" s="13">
        <f>Z2*4184</f>
        <v>728039.20581605961</v>
      </c>
      <c r="AB2" s="12">
        <v>-5.7325413699999999</v>
      </c>
      <c r="AC2" s="12">
        <f>-1*AB2</f>
        <v>5.7325413699999999</v>
      </c>
      <c r="AD2" s="12">
        <v>-0.11265354</v>
      </c>
      <c r="AE2" s="12">
        <f>AD2*-1</f>
        <v>0.11265354</v>
      </c>
      <c r="AF2" s="12">
        <v>-5.6198878299999997</v>
      </c>
      <c r="AG2" s="12">
        <f>-1*AF2</f>
        <v>5.6198878299999997</v>
      </c>
      <c r="AH2" s="12">
        <f>AG2*23.0605</f>
        <v>129.597423303715</v>
      </c>
      <c r="AI2" s="12">
        <f>AH2*4184</f>
        <v>542235.61910274357</v>
      </c>
      <c r="AJ2" s="12">
        <v>0</v>
      </c>
      <c r="AK2" s="12">
        <v>1</v>
      </c>
      <c r="AL2" s="1" t="s">
        <v>67</v>
      </c>
      <c r="AM2" s="1" t="s">
        <v>66</v>
      </c>
      <c r="AN2">
        <v>-170.93159241801999</v>
      </c>
      <c r="AO2">
        <f>-1*AN2</f>
        <v>170.93159241801999</v>
      </c>
      <c r="AP2" s="14">
        <f>AO2*4184</f>
        <v>715177.78267699562</v>
      </c>
      <c r="AQ2">
        <v>-107.288722802687</v>
      </c>
      <c r="AR2">
        <f>-1*AQ2</f>
        <v>107.288722802687</v>
      </c>
      <c r="AS2">
        <f>AN2-AQ2</f>
        <v>-63.642869615332984</v>
      </c>
      <c r="AT2">
        <f>-1*AS2</f>
        <v>63.642869615332984</v>
      </c>
      <c r="AU2">
        <v>-121.99308152999301</v>
      </c>
      <c r="AV2">
        <f>-1*AU2</f>
        <v>121.99308152999301</v>
      </c>
      <c r="AW2">
        <f>AV2*4184</f>
        <v>510419.05312149075</v>
      </c>
      <c r="AX2">
        <v>-99.455029682555207</v>
      </c>
      <c r="AY2">
        <f>-1*AX2</f>
        <v>99.455029682555207</v>
      </c>
      <c r="AZ2" s="15">
        <v>102.97248962</v>
      </c>
      <c r="BA2" s="15">
        <f>AZ2*4184</f>
        <v>430836.89657008002</v>
      </c>
      <c r="BB2" s="15">
        <v>69.20535083</v>
      </c>
      <c r="BC2" s="15">
        <f>BB2*4184</f>
        <v>289555.18787272001</v>
      </c>
      <c r="BD2" s="15">
        <v>52.241417689999999</v>
      </c>
      <c r="BE2" s="15">
        <f>BD2*4184</f>
        <v>218578.09161495999</v>
      </c>
      <c r="BF2" s="15">
        <v>73.242071210000006</v>
      </c>
      <c r="BG2" s="15">
        <f>BF2*4184</f>
        <v>306444.82594264002</v>
      </c>
      <c r="BH2" s="1" t="s">
        <v>65</v>
      </c>
      <c r="BI2" s="1">
        <v>0</v>
      </c>
      <c r="BJ2" s="16">
        <f>BI2*4184</f>
        <v>0</v>
      </c>
      <c r="BK2" s="1">
        <v>0</v>
      </c>
      <c r="BL2" s="16">
        <f>BK2*4184</f>
        <v>0</v>
      </c>
      <c r="BM2" s="1">
        <v>0</v>
      </c>
      <c r="BN2" s="17">
        <v>96.6</v>
      </c>
      <c r="BO2">
        <v>3.9243000000000001</v>
      </c>
      <c r="BP2">
        <v>3.6680000000000001</v>
      </c>
    </row>
    <row r="3" spans="1:74" x14ac:dyDescent="0.2">
      <c r="A3" s="1">
        <v>2</v>
      </c>
      <c r="B3" s="1" t="s">
        <v>68</v>
      </c>
      <c r="C3" s="1">
        <v>257</v>
      </c>
      <c r="D3" s="1">
        <f t="shared" ref="D3:D22" si="0">C3+273.15</f>
        <v>530.15</v>
      </c>
      <c r="E3" s="9">
        <v>2.5133999999999999</v>
      </c>
      <c r="F3" s="9">
        <f t="shared" ref="F3:F23" si="1">E3*(10^-10)</f>
        <v>2.5133999999999998E-10</v>
      </c>
      <c r="G3" s="9">
        <v>19.989999999999998</v>
      </c>
      <c r="H3" s="10">
        <f t="shared" ref="H3:H22" si="2">G3*10^(-6)</f>
        <v>1.9989999999999997E-5</v>
      </c>
      <c r="I3" s="1">
        <v>0</v>
      </c>
      <c r="J3" s="1">
        <v>1</v>
      </c>
      <c r="K3" s="1" t="s">
        <v>66</v>
      </c>
      <c r="L3" s="1">
        <v>6</v>
      </c>
      <c r="M3" s="1">
        <v>6</v>
      </c>
      <c r="N3" s="11">
        <v>397.25373741443002</v>
      </c>
      <c r="O3" s="11">
        <f t="shared" ref="O3:O22" si="3">N3*4184</f>
        <v>1662109.6373419752</v>
      </c>
      <c r="P3" s="1">
        <v>10.64</v>
      </c>
      <c r="Q3" s="1">
        <v>2.97</v>
      </c>
      <c r="R3" s="1">
        <f t="shared" ref="R3:R22" si="4">Q3*23.0605</f>
        <v>68.489685000000009</v>
      </c>
      <c r="S3" s="1">
        <f t="shared" ref="S3:S22" si="5">R3*4184</f>
        <v>286560.84204000002</v>
      </c>
      <c r="T3" s="12">
        <v>-6.4000272000000002</v>
      </c>
      <c r="U3" s="12">
        <f t="shared" ref="U3:U20" si="6">ABS(T3)</f>
        <v>6.4000272000000002</v>
      </c>
      <c r="V3" s="12">
        <v>1.1341544800000001</v>
      </c>
      <c r="W3" s="12">
        <f t="shared" ref="W3:W20" si="7">-1*V3</f>
        <v>-1.1341544800000001</v>
      </c>
      <c r="X3" s="12">
        <v>-7.5341816799999997</v>
      </c>
      <c r="Y3" s="12">
        <f t="shared" ref="Y3:Y22" si="8">-1*X3</f>
        <v>7.5341816799999997</v>
      </c>
      <c r="Z3" s="12">
        <f t="shared" ref="Z3:Z22" si="9">Y3*23.0605</f>
        <v>173.74199663164001</v>
      </c>
      <c r="AA3" s="13">
        <f t="shared" ref="AA3:AA22" si="10">Z3*4184</f>
        <v>726936.51390678179</v>
      </c>
      <c r="AB3" s="12">
        <v>-5.7325413699999999</v>
      </c>
      <c r="AC3" s="12">
        <f t="shared" ref="AC3:AC20" si="11">-1*AB3</f>
        <v>5.7325413699999999</v>
      </c>
      <c r="AD3" s="12">
        <v>-0.10829978</v>
      </c>
      <c r="AE3" s="12">
        <f t="shared" ref="AE3:AE20" si="12">AD3*-1</f>
        <v>0.10829978</v>
      </c>
      <c r="AF3" s="12">
        <v>-5.6182551700000003</v>
      </c>
      <c r="AG3" s="12">
        <f t="shared" ref="AG3:AG23" si="13">-1*AF3</f>
        <v>5.6182551700000003</v>
      </c>
      <c r="AH3" s="12">
        <f t="shared" ref="AH3:AH23" si="14">AG3*23.0605</f>
        <v>129.55977334778501</v>
      </c>
      <c r="AI3" s="12">
        <f t="shared" ref="AI3:AI23" si="15">AH3*4184</f>
        <v>542078.09168713249</v>
      </c>
      <c r="AJ3" s="12">
        <v>0</v>
      </c>
      <c r="AK3" s="12">
        <v>1</v>
      </c>
      <c r="AL3" s="1" t="s">
        <v>67</v>
      </c>
      <c r="AM3" s="1" t="s">
        <v>66</v>
      </c>
      <c r="AN3">
        <v>-170.95841027830801</v>
      </c>
      <c r="AO3">
        <f t="shared" ref="AO3:AO22" si="16">-1*AN3</f>
        <v>170.95841027830801</v>
      </c>
      <c r="AP3" s="14">
        <f t="shared" ref="AP3:AP22" si="17">AO3*4184</f>
        <v>715289.9886044407</v>
      </c>
      <c r="AQ3">
        <v>-107.31212466772</v>
      </c>
      <c r="AR3">
        <f t="shared" ref="AR3:AR20" si="18">-1*AQ3</f>
        <v>107.31212466772</v>
      </c>
      <c r="AS3">
        <f t="shared" ref="AS3:AS20" si="19">AN3-AQ3</f>
        <v>-63.646285610588009</v>
      </c>
      <c r="AT3">
        <f t="shared" ref="AT3:AT20" si="20">-1*AS3</f>
        <v>63.646285610588009</v>
      </c>
      <c r="AU3">
        <v>-121.991086414322</v>
      </c>
      <c r="AV3">
        <f t="shared" ref="AV3:AV22" si="21">-1*AU3</f>
        <v>121.991086414322</v>
      </c>
      <c r="AW3">
        <f t="shared" ref="AW3:AW22" si="22">AV3*4184</f>
        <v>510410.70555752324</v>
      </c>
      <c r="AX3">
        <v>-99.452920521124895</v>
      </c>
      <c r="AY3">
        <f t="shared" ref="AY3:AY20" si="23">-1*AX3</f>
        <v>99.452920521124895</v>
      </c>
      <c r="AZ3" s="15">
        <v>102.9685657</v>
      </c>
      <c r="BA3" s="15">
        <f t="shared" ref="BA3:BA22" si="24">AZ3*4184</f>
        <v>430820.47888880002</v>
      </c>
      <c r="BB3" s="15">
        <v>69.185126779999905</v>
      </c>
      <c r="BC3" s="15">
        <f t="shared" ref="BC3:BC22" si="25">BB3*4184</f>
        <v>289470.5704475196</v>
      </c>
      <c r="BD3" s="15">
        <v>52.238721150000003</v>
      </c>
      <c r="BE3" s="15">
        <f t="shared" ref="BE3:BE23" si="26">BD3*4184</f>
        <v>218566.80929160002</v>
      </c>
      <c r="BF3" s="15">
        <v>73.242071210000006</v>
      </c>
      <c r="BG3" s="15">
        <f t="shared" ref="BG3:BG22" si="27">BF3*4184</f>
        <v>306444.82594264002</v>
      </c>
      <c r="BH3" s="1" t="s">
        <v>68</v>
      </c>
      <c r="BI3" s="1">
        <v>0</v>
      </c>
      <c r="BJ3" s="16">
        <f t="shared" ref="BJ3:BJ21" si="28">BI3*4184</f>
        <v>0</v>
      </c>
      <c r="BK3" s="1">
        <v>0</v>
      </c>
      <c r="BL3" s="16">
        <f t="shared" ref="BL3:BL21" si="29">BK3*4184</f>
        <v>0</v>
      </c>
      <c r="BM3" s="1">
        <v>0</v>
      </c>
      <c r="BN3" s="17">
        <v>97.1</v>
      </c>
      <c r="BO3">
        <v>5.2731000000000003</v>
      </c>
      <c r="BP3">
        <v>4.7480000000000002</v>
      </c>
    </row>
    <row r="4" spans="1:74" x14ac:dyDescent="0.2">
      <c r="A4" s="1">
        <v>3</v>
      </c>
      <c r="B4" s="1" t="s">
        <v>69</v>
      </c>
      <c r="C4" s="1">
        <v>294</v>
      </c>
      <c r="D4" s="1">
        <f t="shared" si="0"/>
        <v>567.15</v>
      </c>
      <c r="E4" s="9">
        <v>3.5586000000000002</v>
      </c>
      <c r="F4" s="9">
        <f t="shared" si="1"/>
        <v>3.5586000000000005E-10</v>
      </c>
      <c r="G4" s="9">
        <v>31.11</v>
      </c>
      <c r="H4" s="10">
        <f t="shared" si="2"/>
        <v>3.1109999999999999E-5</v>
      </c>
      <c r="I4" s="1">
        <v>0</v>
      </c>
      <c r="J4" s="1">
        <v>1</v>
      </c>
      <c r="K4" s="1" t="s">
        <v>66</v>
      </c>
      <c r="L4" s="1">
        <v>10</v>
      </c>
      <c r="M4" s="1">
        <v>10</v>
      </c>
      <c r="N4" s="11">
        <v>397.050424304008</v>
      </c>
      <c r="O4" s="11">
        <f t="shared" si="3"/>
        <v>1661258.9752879695</v>
      </c>
      <c r="P4" s="1">
        <v>10.64</v>
      </c>
      <c r="Q4" s="1">
        <v>2.97</v>
      </c>
      <c r="R4" s="1">
        <f t="shared" si="4"/>
        <v>68.489685000000009</v>
      </c>
      <c r="S4" s="1">
        <f t="shared" si="5"/>
        <v>286560.84204000002</v>
      </c>
      <c r="T4" s="12">
        <v>-6.3962176599999996</v>
      </c>
      <c r="U4" s="12">
        <f t="shared" si="6"/>
        <v>6.3962176599999996</v>
      </c>
      <c r="V4" s="12">
        <v>1.13007283</v>
      </c>
      <c r="W4" s="12">
        <f t="shared" si="7"/>
        <v>-1.13007283</v>
      </c>
      <c r="X4" s="12">
        <v>-7.5262904900000001</v>
      </c>
      <c r="Y4" s="12">
        <f t="shared" si="8"/>
        <v>7.5262904900000001</v>
      </c>
      <c r="Z4" s="12">
        <f t="shared" si="9"/>
        <v>173.56002184464501</v>
      </c>
      <c r="AA4" s="13">
        <f t="shared" si="10"/>
        <v>726175.1313979947</v>
      </c>
      <c r="AB4" s="12">
        <v>-5.7325413699999999</v>
      </c>
      <c r="AC4" s="12">
        <f t="shared" si="11"/>
        <v>5.7325413699999999</v>
      </c>
      <c r="AD4" s="12">
        <v>-0.10557867999999999</v>
      </c>
      <c r="AE4" s="12">
        <f t="shared" si="12"/>
        <v>0.10557867999999999</v>
      </c>
      <c r="AF4" s="12">
        <v>-5.6177109500000002</v>
      </c>
      <c r="AG4" s="12">
        <f t="shared" si="13"/>
        <v>5.6177109500000002</v>
      </c>
      <c r="AH4" s="12">
        <f t="shared" si="14"/>
        <v>129.54722336247502</v>
      </c>
      <c r="AI4" s="12">
        <f t="shared" si="15"/>
        <v>542025.5825485955</v>
      </c>
      <c r="AJ4" s="12">
        <v>0</v>
      </c>
      <c r="AK4" s="12">
        <v>1</v>
      </c>
      <c r="AL4" s="1" t="s">
        <v>67</v>
      </c>
      <c r="AM4" s="1" t="s">
        <v>66</v>
      </c>
      <c r="AN4">
        <v>-170.98178641529799</v>
      </c>
      <c r="AO4">
        <f t="shared" si="16"/>
        <v>170.98178641529799</v>
      </c>
      <c r="AP4" s="14">
        <f t="shared" si="17"/>
        <v>715387.79436160682</v>
      </c>
      <c r="AQ4">
        <v>-107.32589452223201</v>
      </c>
      <c r="AR4">
        <f t="shared" si="18"/>
        <v>107.32589452223201</v>
      </c>
      <c r="AS4">
        <f t="shared" si="19"/>
        <v>-63.655891893065984</v>
      </c>
      <c r="AT4">
        <f t="shared" si="20"/>
        <v>63.655891893065984</v>
      </c>
      <c r="AU4">
        <v>-121.989101330772</v>
      </c>
      <c r="AV4">
        <f t="shared" si="21"/>
        <v>121.989101330772</v>
      </c>
      <c r="AW4">
        <f t="shared" si="22"/>
        <v>510402.39996795007</v>
      </c>
      <c r="AX4">
        <v>-99.451448569191399</v>
      </c>
      <c r="AY4">
        <f t="shared" si="23"/>
        <v>99.451448569191399</v>
      </c>
      <c r="AZ4" s="15">
        <v>102.9685657</v>
      </c>
      <c r="BA4" s="15">
        <f t="shared" si="24"/>
        <v>430820.47888880002</v>
      </c>
      <c r="BB4" s="15">
        <v>69.189171589999901</v>
      </c>
      <c r="BC4" s="15">
        <f t="shared" si="25"/>
        <v>289487.49393255956</v>
      </c>
      <c r="BD4" s="15">
        <v>52.23467634</v>
      </c>
      <c r="BE4" s="15">
        <f t="shared" si="26"/>
        <v>218549.88580655999</v>
      </c>
      <c r="BF4" s="15">
        <v>73.240722939999998</v>
      </c>
      <c r="BG4" s="15">
        <f t="shared" si="27"/>
        <v>306439.18478095997</v>
      </c>
      <c r="BH4" s="1" t="s">
        <v>69</v>
      </c>
      <c r="BI4" s="1">
        <v>0</v>
      </c>
      <c r="BJ4" s="16">
        <f t="shared" si="28"/>
        <v>0</v>
      </c>
      <c r="BK4" s="1">
        <v>0</v>
      </c>
      <c r="BL4" s="16">
        <f t="shared" si="29"/>
        <v>0</v>
      </c>
      <c r="BM4" s="1">
        <v>0</v>
      </c>
      <c r="BN4" s="17">
        <v>97.1</v>
      </c>
      <c r="BO4">
        <v>7.9706999999999999</v>
      </c>
      <c r="BP4">
        <v>6.9080000000000004</v>
      </c>
    </row>
    <row r="5" spans="1:74" x14ac:dyDescent="0.2">
      <c r="A5" s="1">
        <v>4</v>
      </c>
      <c r="B5" s="1" t="s">
        <v>70</v>
      </c>
      <c r="C5" s="1">
        <v>245.62</v>
      </c>
      <c r="D5" s="1">
        <f t="shared" si="0"/>
        <v>518.77</v>
      </c>
      <c r="E5" s="9">
        <v>1.8772</v>
      </c>
      <c r="F5" s="9">
        <f t="shared" si="1"/>
        <v>1.8772E-10</v>
      </c>
      <c r="G5" s="9">
        <v>20.41</v>
      </c>
      <c r="H5" s="10">
        <f t="shared" si="2"/>
        <v>2.0409999999999999E-5</v>
      </c>
      <c r="I5" s="1">
        <v>0</v>
      </c>
      <c r="J5" s="1">
        <v>0</v>
      </c>
      <c r="K5" s="1" t="s">
        <v>71</v>
      </c>
      <c r="L5" s="1">
        <v>2</v>
      </c>
      <c r="M5" s="1"/>
      <c r="N5" s="11">
        <v>335.27335920319598</v>
      </c>
      <c r="O5" s="11">
        <f t="shared" si="3"/>
        <v>1402783.7349061719</v>
      </c>
      <c r="P5" s="1">
        <v>8.1999999999999993</v>
      </c>
      <c r="Q5" s="1">
        <v>2.54</v>
      </c>
      <c r="R5" s="1">
        <f t="shared" si="4"/>
        <v>58.573670000000007</v>
      </c>
      <c r="S5" s="1">
        <f t="shared" si="5"/>
        <v>245072.23528000002</v>
      </c>
      <c r="T5" s="12">
        <v>-6.82533513</v>
      </c>
      <c r="U5" s="12">
        <f t="shared" si="6"/>
        <v>6.82533513</v>
      </c>
      <c r="V5" s="12">
        <v>-1.4503463000000001</v>
      </c>
      <c r="W5" s="12">
        <f t="shared" si="7"/>
        <v>1.4503463000000001</v>
      </c>
      <c r="X5" s="12">
        <v>-5.3749888300000004</v>
      </c>
      <c r="Y5" s="12">
        <f t="shared" si="8"/>
        <v>5.3749888300000004</v>
      </c>
      <c r="Z5" s="12">
        <f t="shared" si="9"/>
        <v>123.94992991421502</v>
      </c>
      <c r="AA5" s="13">
        <f t="shared" si="10"/>
        <v>518606.50676107564</v>
      </c>
      <c r="AB5" s="12">
        <v>-5.7325413699999999</v>
      </c>
      <c r="AC5" s="12">
        <f t="shared" si="11"/>
        <v>5.7325413699999999</v>
      </c>
      <c r="AD5" s="12">
        <v>-1.9472191599999999</v>
      </c>
      <c r="AE5" s="12">
        <f t="shared" si="12"/>
        <v>1.9472191599999999</v>
      </c>
      <c r="AF5" s="12">
        <v>-4.2685895699999996</v>
      </c>
      <c r="AG5" s="12">
        <f t="shared" si="13"/>
        <v>4.2685895699999996</v>
      </c>
      <c r="AH5" s="12">
        <f t="shared" si="14"/>
        <v>98.435809778984989</v>
      </c>
      <c r="AI5" s="12">
        <f t="shared" si="15"/>
        <v>411855.42811527319</v>
      </c>
      <c r="AJ5" s="12">
        <v>0</v>
      </c>
      <c r="AK5" s="12">
        <v>1</v>
      </c>
      <c r="AL5" s="1" t="s">
        <v>67</v>
      </c>
      <c r="AM5" s="1" t="s">
        <v>71</v>
      </c>
      <c r="AN5">
        <v>-154.215350286329</v>
      </c>
      <c r="AO5">
        <f t="shared" si="16"/>
        <v>154.215350286329</v>
      </c>
      <c r="AP5" s="14">
        <f t="shared" si="17"/>
        <v>645237.0255980005</v>
      </c>
      <c r="AQ5">
        <v>-93.153269855066199</v>
      </c>
      <c r="AR5">
        <f t="shared" si="18"/>
        <v>93.153269855066199</v>
      </c>
      <c r="AS5">
        <f t="shared" si="19"/>
        <v>-61.0620804312628</v>
      </c>
      <c r="AT5">
        <f t="shared" si="20"/>
        <v>61.0620804312628</v>
      </c>
      <c r="AU5">
        <v>-119.20413561067799</v>
      </c>
      <c r="AV5">
        <f t="shared" si="21"/>
        <v>119.20413561067799</v>
      </c>
      <c r="AW5">
        <f t="shared" si="22"/>
        <v>498750.1033950767</v>
      </c>
      <c r="AX5">
        <v>-97.253340502889998</v>
      </c>
      <c r="AY5">
        <f t="shared" si="23"/>
        <v>97.253340502889998</v>
      </c>
      <c r="AZ5" s="15">
        <v>103.8318281</v>
      </c>
      <c r="BA5" s="15">
        <f t="shared" si="24"/>
        <v>434432.3687704</v>
      </c>
      <c r="BB5" s="15">
        <v>76.077483020000003</v>
      </c>
      <c r="BC5" s="15">
        <f t="shared" si="25"/>
        <v>318308.18895568</v>
      </c>
      <c r="BD5" s="15">
        <v>75.046056469999996</v>
      </c>
      <c r="BE5" s="15">
        <f t="shared" si="26"/>
        <v>313992.70027048001</v>
      </c>
      <c r="BF5" s="15">
        <v>73.598014489999997</v>
      </c>
      <c r="BG5" s="15">
        <f t="shared" si="27"/>
        <v>307934.09262616001</v>
      </c>
      <c r="BH5" s="1" t="s">
        <v>70</v>
      </c>
      <c r="BI5" s="12">
        <v>65.056822440000104</v>
      </c>
      <c r="BJ5" s="16">
        <f t="shared" si="28"/>
        <v>272197.74508896045</v>
      </c>
      <c r="BK5" s="12">
        <v>78.937944479999999</v>
      </c>
      <c r="BL5" s="16">
        <f t="shared" si="29"/>
        <v>330276.35970431997</v>
      </c>
      <c r="BM5" s="1">
        <f t="shared" ref="BM5:BM20" si="30">BI5-BK5</f>
        <v>-13.881122039999894</v>
      </c>
      <c r="BN5" s="1">
        <v>98.9</v>
      </c>
      <c r="BO5">
        <v>4.6878000000000002</v>
      </c>
      <c r="BP5">
        <v>4.2</v>
      </c>
    </row>
    <row r="6" spans="1:74" x14ac:dyDescent="0.2">
      <c r="A6" s="1">
        <v>5</v>
      </c>
      <c r="B6" s="1" t="s">
        <v>72</v>
      </c>
      <c r="C6" s="1">
        <v>291</v>
      </c>
      <c r="D6" s="1">
        <f t="shared" si="0"/>
        <v>564.15</v>
      </c>
      <c r="E6" s="9">
        <v>1.2406999999999999</v>
      </c>
      <c r="F6" s="9">
        <f t="shared" si="1"/>
        <v>1.2406999999999999E-10</v>
      </c>
      <c r="G6" s="9">
        <v>11.19</v>
      </c>
      <c r="H6" s="10">
        <f t="shared" si="2"/>
        <v>1.119E-5</v>
      </c>
      <c r="I6" s="1">
        <v>0</v>
      </c>
      <c r="J6" s="1">
        <v>0</v>
      </c>
      <c r="K6" s="1" t="s">
        <v>71</v>
      </c>
      <c r="L6" s="1">
        <v>1</v>
      </c>
      <c r="M6" s="1"/>
      <c r="N6" s="11">
        <v>354.21912904639601</v>
      </c>
      <c r="O6" s="11">
        <f t="shared" si="3"/>
        <v>1482052.8359301209</v>
      </c>
      <c r="P6" s="1">
        <v>9.1999999999999993</v>
      </c>
      <c r="Q6" s="1">
        <v>2.5</v>
      </c>
      <c r="R6" s="1">
        <f t="shared" si="4"/>
        <v>57.651250000000005</v>
      </c>
      <c r="S6" s="1">
        <f t="shared" si="5"/>
        <v>241212.83000000002</v>
      </c>
      <c r="T6" s="12">
        <v>-6.8721380500000002</v>
      </c>
      <c r="U6" s="12">
        <f t="shared" si="6"/>
        <v>6.8721380500000002</v>
      </c>
      <c r="V6" s="12">
        <v>0.34340282</v>
      </c>
      <c r="W6" s="12">
        <f t="shared" si="7"/>
        <v>-0.34340282</v>
      </c>
      <c r="X6" s="12">
        <v>-7.2155408699999999</v>
      </c>
      <c r="Y6" s="12">
        <f t="shared" si="8"/>
        <v>7.2155408699999999</v>
      </c>
      <c r="Z6" s="12">
        <f t="shared" si="9"/>
        <v>166.39398023263502</v>
      </c>
      <c r="AA6" s="13">
        <f t="shared" si="10"/>
        <v>696192.4132933449</v>
      </c>
      <c r="AB6" s="12">
        <v>-5.7325413699999999</v>
      </c>
      <c r="AC6" s="12">
        <f t="shared" si="11"/>
        <v>5.7325413699999999</v>
      </c>
      <c r="AD6" s="12">
        <v>-1.14884842</v>
      </c>
      <c r="AE6" s="12">
        <f t="shared" si="12"/>
        <v>1.14884842</v>
      </c>
      <c r="AF6" s="12">
        <v>-4.9515856700000001</v>
      </c>
      <c r="AG6" s="12">
        <f t="shared" si="13"/>
        <v>4.9515856700000001</v>
      </c>
      <c r="AH6" s="12">
        <f t="shared" si="14"/>
        <v>114.186041343035</v>
      </c>
      <c r="AI6" s="12">
        <f t="shared" si="15"/>
        <v>477754.39697925845</v>
      </c>
      <c r="AJ6" s="12">
        <v>0</v>
      </c>
      <c r="AK6" s="12">
        <v>1</v>
      </c>
      <c r="AL6" s="1" t="s">
        <v>67</v>
      </c>
      <c r="AM6" s="1" t="s">
        <v>71</v>
      </c>
      <c r="AN6">
        <v>-154.938779947104</v>
      </c>
      <c r="AO6">
        <f t="shared" si="16"/>
        <v>154.938779947104</v>
      </c>
      <c r="AP6" s="14">
        <f t="shared" si="17"/>
        <v>648263.85529868316</v>
      </c>
      <c r="AQ6">
        <v>-93.809261001509398</v>
      </c>
      <c r="AR6">
        <f t="shared" si="18"/>
        <v>93.809261001509398</v>
      </c>
      <c r="AS6">
        <f t="shared" si="19"/>
        <v>-61.129518945594597</v>
      </c>
      <c r="AT6">
        <f t="shared" si="20"/>
        <v>61.129518945594597</v>
      </c>
      <c r="AU6">
        <v>-118.37895812825199</v>
      </c>
      <c r="AV6">
        <f t="shared" si="21"/>
        <v>118.37895812825199</v>
      </c>
      <c r="AW6">
        <f t="shared" si="22"/>
        <v>495297.56080860633</v>
      </c>
      <c r="AX6">
        <v>-96.570890855961594</v>
      </c>
      <c r="AY6">
        <f t="shared" si="23"/>
        <v>96.570890855961594</v>
      </c>
      <c r="AZ6" s="15">
        <v>103.64446092</v>
      </c>
      <c r="BA6" s="15">
        <f t="shared" si="24"/>
        <v>433648.42448927998</v>
      </c>
      <c r="BB6" s="15">
        <v>76.908017339999901</v>
      </c>
      <c r="BC6" s="15">
        <f t="shared" si="25"/>
        <v>321783.14455055958</v>
      </c>
      <c r="BD6" s="15">
        <v>75.729629359999905</v>
      </c>
      <c r="BE6" s="15">
        <f t="shared" si="26"/>
        <v>316852.76924223959</v>
      </c>
      <c r="BF6" s="15">
        <v>73.580486979999904</v>
      </c>
      <c r="BG6" s="15">
        <f t="shared" si="27"/>
        <v>307860.75752431958</v>
      </c>
      <c r="BH6" s="1" t="s">
        <v>72</v>
      </c>
      <c r="BI6" s="12">
        <v>42.106840800000001</v>
      </c>
      <c r="BJ6" s="16">
        <f t="shared" si="28"/>
        <v>176175.02190719999</v>
      </c>
      <c r="BK6" s="12">
        <v>54.22868802</v>
      </c>
      <c r="BL6" s="16">
        <f t="shared" si="29"/>
        <v>226892.83067567999</v>
      </c>
      <c r="BM6" s="1">
        <f t="shared" si="30"/>
        <v>-12.121847219999999</v>
      </c>
      <c r="BN6" s="1">
        <v>108.6</v>
      </c>
      <c r="BO6">
        <v>2.3559999999999999</v>
      </c>
      <c r="BP6">
        <v>1.8839999999999999</v>
      </c>
      <c r="BU6" t="s">
        <v>73</v>
      </c>
      <c r="BV6" t="s">
        <v>74</v>
      </c>
    </row>
    <row r="7" spans="1:74" x14ac:dyDescent="0.2">
      <c r="A7" s="1">
        <v>6</v>
      </c>
      <c r="B7" s="1" t="s">
        <v>75</v>
      </c>
      <c r="C7" s="1">
        <v>301</v>
      </c>
      <c r="D7" s="1">
        <f t="shared" si="0"/>
        <v>574.15</v>
      </c>
      <c r="E7" s="9">
        <v>2.0344000000000002</v>
      </c>
      <c r="F7" s="9">
        <f t="shared" si="1"/>
        <v>2.0344000000000002E-10</v>
      </c>
      <c r="G7" s="9">
        <v>21.67</v>
      </c>
      <c r="H7" s="10">
        <f t="shared" si="2"/>
        <v>2.1670000000000001E-5</v>
      </c>
      <c r="I7" s="1">
        <v>0</v>
      </c>
      <c r="J7" s="1">
        <v>0</v>
      </c>
      <c r="K7" s="1" t="s">
        <v>71</v>
      </c>
      <c r="L7" s="1">
        <v>2</v>
      </c>
      <c r="M7" s="1"/>
      <c r="N7" s="11">
        <v>365.02609937759797</v>
      </c>
      <c r="O7" s="11">
        <f t="shared" si="3"/>
        <v>1527269.1997958699</v>
      </c>
      <c r="P7" s="1">
        <v>4.8499999999999996</v>
      </c>
      <c r="Q7" s="1">
        <v>3.97</v>
      </c>
      <c r="R7" s="1">
        <f t="shared" si="4"/>
        <v>91.550185000000013</v>
      </c>
      <c r="S7" s="1">
        <f t="shared" si="5"/>
        <v>383045.97404000006</v>
      </c>
      <c r="T7" s="12">
        <v>-5.3994787300000002</v>
      </c>
      <c r="U7" s="12">
        <f t="shared" si="6"/>
        <v>5.3994787300000002</v>
      </c>
      <c r="V7" s="12">
        <v>-3.9455949999999997E-2</v>
      </c>
      <c r="W7" s="12">
        <f t="shared" si="7"/>
        <v>3.9455949999999997E-2</v>
      </c>
      <c r="X7" s="12">
        <v>-5.3600227800000004</v>
      </c>
      <c r="Y7" s="12">
        <f t="shared" si="8"/>
        <v>5.3600227800000004</v>
      </c>
      <c r="Z7" s="12">
        <f t="shared" si="9"/>
        <v>123.60480531819002</v>
      </c>
      <c r="AA7" s="13">
        <f t="shared" si="10"/>
        <v>517162.50545130705</v>
      </c>
      <c r="AB7" s="12">
        <v>-5.7325413699999999</v>
      </c>
      <c r="AC7" s="12">
        <f t="shared" si="11"/>
        <v>5.7325413699999999</v>
      </c>
      <c r="AD7" s="12">
        <v>-0.90830317999999999</v>
      </c>
      <c r="AE7" s="12">
        <f t="shared" si="12"/>
        <v>0.90830317999999999</v>
      </c>
      <c r="AF7" s="12">
        <v>-4.7409725299999996</v>
      </c>
      <c r="AG7" s="12">
        <f t="shared" si="13"/>
        <v>4.7409725299999996</v>
      </c>
      <c r="AH7" s="12">
        <f t="shared" si="14"/>
        <v>109.329197028065</v>
      </c>
      <c r="AI7" s="12">
        <f t="shared" si="15"/>
        <v>457433.36036542396</v>
      </c>
      <c r="AJ7" s="12">
        <v>0</v>
      </c>
      <c r="AK7" s="12">
        <v>1</v>
      </c>
      <c r="AL7" s="1" t="s">
        <v>67</v>
      </c>
      <c r="AM7" s="1" t="s">
        <v>71</v>
      </c>
      <c r="AN7">
        <v>-170.83863842562801</v>
      </c>
      <c r="AO7">
        <f t="shared" si="16"/>
        <v>170.83863842562801</v>
      </c>
      <c r="AP7" s="14">
        <f t="shared" si="17"/>
        <v>714788.86317282752</v>
      </c>
      <c r="AQ7">
        <v>-106.134870243252</v>
      </c>
      <c r="AR7">
        <f t="shared" si="18"/>
        <v>106.134870243252</v>
      </c>
      <c r="AS7">
        <f t="shared" si="19"/>
        <v>-64.70376818237601</v>
      </c>
      <c r="AT7">
        <f t="shared" si="20"/>
        <v>64.70376818237601</v>
      </c>
      <c r="AU7">
        <v>-119.728613409041</v>
      </c>
      <c r="AV7">
        <f t="shared" si="21"/>
        <v>119.728613409041</v>
      </c>
      <c r="AW7">
        <f t="shared" si="22"/>
        <v>500944.51850342756</v>
      </c>
      <c r="AX7">
        <v>-97.485035400923394</v>
      </c>
      <c r="AY7">
        <f t="shared" si="23"/>
        <v>97.485035400923394</v>
      </c>
      <c r="AZ7" s="15">
        <v>102.74882617999999</v>
      </c>
      <c r="BA7" s="15">
        <f t="shared" si="24"/>
        <v>429901.08873711998</v>
      </c>
      <c r="BB7" s="15">
        <v>74.516186360000006</v>
      </c>
      <c r="BC7" s="15">
        <f t="shared" si="25"/>
        <v>311775.72373024002</v>
      </c>
      <c r="BD7" s="15">
        <v>68.791431939999896</v>
      </c>
      <c r="BE7" s="15">
        <f t="shared" si="26"/>
        <v>287823.35123695957</v>
      </c>
      <c r="BF7" s="15">
        <v>73.371505129999903</v>
      </c>
      <c r="BG7" s="15">
        <f t="shared" si="27"/>
        <v>306986.37746391958</v>
      </c>
      <c r="BH7" s="1" t="s">
        <v>75</v>
      </c>
      <c r="BI7" s="12">
        <v>42.650788800000001</v>
      </c>
      <c r="BJ7" s="16">
        <f t="shared" si="28"/>
        <v>178450.90033920002</v>
      </c>
      <c r="BK7" s="12">
        <v>41.0464669200001</v>
      </c>
      <c r="BL7" s="16">
        <f t="shared" si="29"/>
        <v>171738.41759328041</v>
      </c>
      <c r="BM7" s="1">
        <f t="shared" si="30"/>
        <v>1.6043218799999011</v>
      </c>
      <c r="BN7" s="1">
        <v>83.8</v>
      </c>
      <c r="BO7">
        <v>5.0888999999999998</v>
      </c>
      <c r="BP7">
        <v>4.4480000000000004</v>
      </c>
      <c r="BV7" t="s">
        <v>76</v>
      </c>
    </row>
    <row r="8" spans="1:74" x14ac:dyDescent="0.2">
      <c r="A8" s="1">
        <v>7</v>
      </c>
      <c r="B8" s="1" t="s">
        <v>77</v>
      </c>
      <c r="C8" s="1">
        <v>237.19</v>
      </c>
      <c r="D8" s="1">
        <f t="shared" si="0"/>
        <v>510.34</v>
      </c>
      <c r="E8" s="9">
        <v>1.2069000000000001</v>
      </c>
      <c r="F8" s="9">
        <f t="shared" si="1"/>
        <v>1.2069000000000002E-10</v>
      </c>
      <c r="G8" s="9">
        <v>9.8699999999999992</v>
      </c>
      <c r="H8" s="10">
        <f t="shared" si="2"/>
        <v>9.8699999999999987E-6</v>
      </c>
      <c r="I8" s="1">
        <v>0</v>
      </c>
      <c r="J8" s="1">
        <v>0</v>
      </c>
      <c r="K8" s="1" t="s">
        <v>71</v>
      </c>
      <c r="L8" s="1">
        <v>1</v>
      </c>
      <c r="M8" s="1"/>
      <c r="N8" s="11">
        <v>343.80435221521998</v>
      </c>
      <c r="O8" s="11">
        <f t="shared" si="3"/>
        <v>1438477.4096684803</v>
      </c>
      <c r="P8" s="1">
        <v>9.9</v>
      </c>
      <c r="Q8" s="1">
        <v>1.78</v>
      </c>
      <c r="R8" s="1">
        <f t="shared" si="4"/>
        <v>41.047690000000003</v>
      </c>
      <c r="S8" s="1">
        <f t="shared" si="5"/>
        <v>171743.53496000002</v>
      </c>
      <c r="T8" s="12">
        <v>-7.5899642299999996</v>
      </c>
      <c r="U8" s="12">
        <f t="shared" si="6"/>
        <v>7.5899642299999996</v>
      </c>
      <c r="V8" s="12">
        <v>-0.11836785</v>
      </c>
      <c r="W8" s="12">
        <f t="shared" si="7"/>
        <v>0.11836785</v>
      </c>
      <c r="X8" s="12">
        <v>-7.4715963800000003</v>
      </c>
      <c r="Y8" s="12">
        <f t="shared" si="8"/>
        <v>7.4715963800000003</v>
      </c>
      <c r="Z8" s="12">
        <f t="shared" si="9"/>
        <v>172.29874832099</v>
      </c>
      <c r="AA8" s="13">
        <f t="shared" si="10"/>
        <v>720897.96297502215</v>
      </c>
      <c r="AB8" s="12">
        <v>-5.7325413699999999</v>
      </c>
      <c r="AC8" s="12">
        <f t="shared" si="11"/>
        <v>5.7325413699999999</v>
      </c>
      <c r="AD8" s="12">
        <v>-1.47510831</v>
      </c>
      <c r="AE8" s="12">
        <f t="shared" si="12"/>
        <v>1.47510831</v>
      </c>
      <c r="AF8" s="12">
        <v>-4.8634220299999997</v>
      </c>
      <c r="AG8" s="12">
        <f t="shared" si="13"/>
        <v>4.8634220299999997</v>
      </c>
      <c r="AH8" s="12">
        <f t="shared" si="14"/>
        <v>112.152943722815</v>
      </c>
      <c r="AI8" s="12">
        <f t="shared" si="15"/>
        <v>469247.91653625795</v>
      </c>
      <c r="AJ8" s="12">
        <v>0</v>
      </c>
      <c r="AK8" s="12">
        <v>1</v>
      </c>
      <c r="AL8" s="1" t="s">
        <v>67</v>
      </c>
      <c r="AM8" s="1" t="s">
        <v>71</v>
      </c>
      <c r="AN8">
        <v>-151.89165130592099</v>
      </c>
      <c r="AO8">
        <f t="shared" si="16"/>
        <v>151.89165130592099</v>
      </c>
      <c r="AP8" s="14">
        <f t="shared" si="17"/>
        <v>635514.66906397336</v>
      </c>
      <c r="AQ8">
        <v>-91.968015057057002</v>
      </c>
      <c r="AR8">
        <f t="shared" si="18"/>
        <v>91.968015057057002</v>
      </c>
      <c r="AS8">
        <f t="shared" si="19"/>
        <v>-59.923636248863986</v>
      </c>
      <c r="AT8">
        <f t="shared" si="20"/>
        <v>59.923636248863986</v>
      </c>
      <c r="AU8">
        <v>-118.78472658656</v>
      </c>
      <c r="AV8">
        <f t="shared" si="21"/>
        <v>118.78472658656</v>
      </c>
      <c r="AW8">
        <f t="shared" si="22"/>
        <v>496995.29603816703</v>
      </c>
      <c r="AX8">
        <v>-96.954377927671402</v>
      </c>
      <c r="AY8">
        <f t="shared" si="23"/>
        <v>96.954377927671402</v>
      </c>
      <c r="AZ8" s="15">
        <v>103.81907536</v>
      </c>
      <c r="BA8" s="15">
        <f t="shared" si="24"/>
        <v>434379.01130623999</v>
      </c>
      <c r="BB8" s="15">
        <v>76.124672469999993</v>
      </c>
      <c r="BC8" s="15">
        <f t="shared" si="25"/>
        <v>318505.62961447996</v>
      </c>
      <c r="BD8" s="15">
        <v>74.934150059999993</v>
      </c>
      <c r="BE8" s="15">
        <f t="shared" si="26"/>
        <v>313524.48385103996</v>
      </c>
      <c r="BF8" s="15">
        <v>73.527904449999994</v>
      </c>
      <c r="BG8" s="15">
        <f t="shared" si="27"/>
        <v>307640.75221879996</v>
      </c>
      <c r="BH8" s="1" t="s">
        <v>77</v>
      </c>
      <c r="BI8">
        <v>117.99574086</v>
      </c>
      <c r="BJ8" s="16">
        <f t="shared" si="28"/>
        <v>493694.17975824</v>
      </c>
      <c r="BK8" s="12">
        <v>133.29001625999999</v>
      </c>
      <c r="BL8" s="16">
        <f t="shared" si="29"/>
        <v>557685.4280318399</v>
      </c>
      <c r="BM8" s="1">
        <f t="shared" si="30"/>
        <v>-15.294275399999989</v>
      </c>
      <c r="BN8" s="1">
        <v>111.2</v>
      </c>
      <c r="BO8">
        <v>2.4039999999999999</v>
      </c>
      <c r="BP8">
        <v>2.2559999999999998</v>
      </c>
      <c r="BU8" t="s">
        <v>78</v>
      </c>
      <c r="BV8" t="s">
        <v>79</v>
      </c>
    </row>
    <row r="9" spans="1:74" x14ac:dyDescent="0.2">
      <c r="A9" s="1">
        <v>8</v>
      </c>
      <c r="B9" s="1" t="s">
        <v>80</v>
      </c>
      <c r="C9" s="1">
        <v>284</v>
      </c>
      <c r="D9" s="1">
        <f t="shared" si="0"/>
        <v>557.15</v>
      </c>
      <c r="E9" s="9">
        <v>1.5491999999999999</v>
      </c>
      <c r="F9" s="9">
        <f t="shared" si="1"/>
        <v>1.5491999999999999E-10</v>
      </c>
      <c r="G9" s="9">
        <v>14.05</v>
      </c>
      <c r="H9" s="10">
        <f t="shared" si="2"/>
        <v>1.4049999999999999E-5</v>
      </c>
      <c r="I9" s="1">
        <v>0</v>
      </c>
      <c r="J9" s="1">
        <v>0</v>
      </c>
      <c r="K9" s="1" t="s">
        <v>71</v>
      </c>
      <c r="L9" s="1">
        <v>2</v>
      </c>
      <c r="M9" s="1"/>
      <c r="N9" s="11">
        <v>355.35366640322098</v>
      </c>
      <c r="O9" s="11">
        <f t="shared" si="3"/>
        <v>1486799.7402310765</v>
      </c>
      <c r="P9" s="1">
        <v>15.31</v>
      </c>
      <c r="Q9" s="1">
        <v>2.62</v>
      </c>
      <c r="R9" s="1">
        <f t="shared" si="4"/>
        <v>60.418510000000005</v>
      </c>
      <c r="S9" s="1">
        <f t="shared" si="5"/>
        <v>252791.04584000001</v>
      </c>
      <c r="T9" s="12">
        <v>-6.7439742000000003</v>
      </c>
      <c r="U9" s="12">
        <f t="shared" si="6"/>
        <v>6.7439742000000003</v>
      </c>
      <c r="V9" s="12">
        <v>0.49986607</v>
      </c>
      <c r="W9" s="12">
        <f t="shared" si="7"/>
        <v>-0.49986607</v>
      </c>
      <c r="X9" s="12">
        <v>-7.2438402999999996</v>
      </c>
      <c r="Y9" s="12">
        <f t="shared" si="8"/>
        <v>7.2438402999999996</v>
      </c>
      <c r="Z9" s="12">
        <f t="shared" si="9"/>
        <v>167.04657923815</v>
      </c>
      <c r="AA9" s="13">
        <f t="shared" si="10"/>
        <v>698922.88753241964</v>
      </c>
      <c r="AB9" s="12">
        <v>-5.7325413699999999</v>
      </c>
      <c r="AC9" s="12">
        <f t="shared" si="11"/>
        <v>5.7325413699999999</v>
      </c>
      <c r="AD9" s="12">
        <v>-1.0258547</v>
      </c>
      <c r="AE9" s="12">
        <f t="shared" si="12"/>
        <v>1.0258547</v>
      </c>
      <c r="AF9" s="12">
        <v>-5.0054634499999997</v>
      </c>
      <c r="AG9" s="12">
        <f t="shared" si="13"/>
        <v>5.0054634499999997</v>
      </c>
      <c r="AH9" s="12">
        <f t="shared" si="14"/>
        <v>115.428489888725</v>
      </c>
      <c r="AI9" s="12">
        <f t="shared" si="15"/>
        <v>482952.80169442541</v>
      </c>
      <c r="AJ9" s="12">
        <v>0</v>
      </c>
      <c r="AK9" s="12">
        <v>1</v>
      </c>
      <c r="AL9" s="1" t="s">
        <v>67</v>
      </c>
      <c r="AM9" s="1" t="s">
        <v>71</v>
      </c>
      <c r="AN9">
        <v>-156.47610261951101</v>
      </c>
      <c r="AO9">
        <f t="shared" si="16"/>
        <v>156.47610261951101</v>
      </c>
      <c r="AP9" s="14">
        <f t="shared" si="17"/>
        <v>654696.01336003409</v>
      </c>
      <c r="AQ9">
        <v>-94.677099621895294</v>
      </c>
      <c r="AR9">
        <f t="shared" si="18"/>
        <v>94.677099621895294</v>
      </c>
      <c r="AS9">
        <f t="shared" si="19"/>
        <v>-61.799002997615716</v>
      </c>
      <c r="AT9">
        <f t="shared" si="20"/>
        <v>61.799002997615716</v>
      </c>
      <c r="AU9">
        <v>-118.251968287355</v>
      </c>
      <c r="AV9">
        <f t="shared" si="21"/>
        <v>118.251968287355</v>
      </c>
      <c r="AW9">
        <f t="shared" si="22"/>
        <v>494766.2353142933</v>
      </c>
      <c r="AX9">
        <v>-96.447194638867202</v>
      </c>
      <c r="AY9">
        <f t="shared" si="23"/>
        <v>96.447194638867202</v>
      </c>
      <c r="AZ9" s="15">
        <v>103.63170818</v>
      </c>
      <c r="BA9" s="15">
        <f t="shared" si="24"/>
        <v>433595.06702512002</v>
      </c>
      <c r="BB9" s="15">
        <v>77.168233449999903</v>
      </c>
      <c r="BC9" s="15">
        <f t="shared" si="25"/>
        <v>322871.88875479961</v>
      </c>
      <c r="BD9" s="15">
        <v>75.900859650000001</v>
      </c>
      <c r="BE9" s="15">
        <f t="shared" si="26"/>
        <v>317569.19677560002</v>
      </c>
      <c r="BF9" s="15">
        <v>73.569700819999994</v>
      </c>
      <c r="BG9" s="15">
        <f t="shared" si="27"/>
        <v>307815.62823087996</v>
      </c>
      <c r="BH9" s="1" t="s">
        <v>80</v>
      </c>
      <c r="BI9" s="12">
        <v>47.997092640000098</v>
      </c>
      <c r="BJ9" s="16">
        <f t="shared" si="28"/>
        <v>200819.8356057604</v>
      </c>
      <c r="BK9" s="12">
        <v>51.013761240000001</v>
      </c>
      <c r="BL9" s="16">
        <f t="shared" si="29"/>
        <v>213441.57702816001</v>
      </c>
      <c r="BM9" s="1">
        <f t="shared" si="30"/>
        <v>-3.0166685999999032</v>
      </c>
      <c r="BN9" s="1">
        <v>101.4</v>
      </c>
      <c r="BO9">
        <v>3.2570999999999999</v>
      </c>
      <c r="BP9">
        <v>2.7320000000000002</v>
      </c>
    </row>
    <row r="10" spans="1:74" x14ac:dyDescent="0.2">
      <c r="A10" s="1">
        <v>9</v>
      </c>
      <c r="B10" s="1" t="s">
        <v>81</v>
      </c>
      <c r="C10" s="1">
        <v>232</v>
      </c>
      <c r="D10" s="1">
        <f t="shared" si="0"/>
        <v>505.15</v>
      </c>
      <c r="E10" s="9">
        <v>1.5960000000000001</v>
      </c>
      <c r="F10" s="9">
        <f t="shared" si="1"/>
        <v>1.5960000000000002E-10</v>
      </c>
      <c r="G10" s="9">
        <v>12.39</v>
      </c>
      <c r="H10" s="10">
        <f t="shared" si="2"/>
        <v>1.239E-5</v>
      </c>
      <c r="I10" s="1">
        <v>0</v>
      </c>
      <c r="J10" s="1">
        <v>0</v>
      </c>
      <c r="K10" s="1" t="s">
        <v>66</v>
      </c>
      <c r="L10" s="1">
        <v>4</v>
      </c>
      <c r="M10" s="1"/>
      <c r="N10" s="11">
        <v>368.35754784402297</v>
      </c>
      <c r="O10" s="11">
        <f t="shared" si="3"/>
        <v>1541207.980179392</v>
      </c>
      <c r="P10" s="1">
        <v>12.2</v>
      </c>
      <c r="Q10" s="1">
        <v>2.6</v>
      </c>
      <c r="R10" s="1">
        <f t="shared" si="4"/>
        <v>59.957300000000004</v>
      </c>
      <c r="S10" s="1">
        <f t="shared" si="5"/>
        <v>250861.3432</v>
      </c>
      <c r="T10" s="12">
        <v>-6.7703689100000002</v>
      </c>
      <c r="U10" s="12">
        <f t="shared" si="6"/>
        <v>6.7703689100000002</v>
      </c>
      <c r="V10" s="12">
        <v>0.25659973000000003</v>
      </c>
      <c r="W10" s="12">
        <f t="shared" si="7"/>
        <v>-0.25659973000000003</v>
      </c>
      <c r="X10" s="12">
        <v>-7.0269686399999998</v>
      </c>
      <c r="Y10" s="12">
        <f t="shared" si="8"/>
        <v>7.0269686399999998</v>
      </c>
      <c r="Z10" s="12">
        <f t="shared" si="9"/>
        <v>162.04541032272002</v>
      </c>
      <c r="AA10" s="13">
        <f t="shared" si="10"/>
        <v>677997.99679026054</v>
      </c>
      <c r="AB10" s="12">
        <v>-5.7325413699999999</v>
      </c>
      <c r="AC10" s="12">
        <f t="shared" si="11"/>
        <v>5.7325413699999999</v>
      </c>
      <c r="AD10" s="12">
        <v>-0.65741775999999996</v>
      </c>
      <c r="AE10" s="12">
        <f t="shared" si="12"/>
        <v>0.65741775999999996</v>
      </c>
      <c r="AF10" s="12">
        <v>-5.24600869</v>
      </c>
      <c r="AG10" s="12">
        <f t="shared" si="13"/>
        <v>5.24600869</v>
      </c>
      <c r="AH10" s="12">
        <f t="shared" si="14"/>
        <v>120.97558339574501</v>
      </c>
      <c r="AI10" s="12">
        <f t="shared" si="15"/>
        <v>506161.84092779708</v>
      </c>
      <c r="AJ10" s="12">
        <v>1</v>
      </c>
      <c r="AK10" s="12">
        <v>0</v>
      </c>
      <c r="AL10" s="1" t="s">
        <v>82</v>
      </c>
      <c r="AM10" s="1" t="s">
        <v>66</v>
      </c>
      <c r="AN10">
        <v>-159.622072143076</v>
      </c>
      <c r="AO10">
        <f t="shared" si="16"/>
        <v>159.622072143076</v>
      </c>
      <c r="AP10" s="14">
        <f t="shared" si="17"/>
        <v>667858.74984662991</v>
      </c>
      <c r="AQ10">
        <v>-105.946916692678</v>
      </c>
      <c r="AR10">
        <f t="shared" si="18"/>
        <v>105.946916692678</v>
      </c>
      <c r="AS10">
        <f t="shared" si="19"/>
        <v>-53.675155450397995</v>
      </c>
      <c r="AT10">
        <f t="shared" si="20"/>
        <v>53.675155450397995</v>
      </c>
      <c r="AU10">
        <v>-117.794939044881</v>
      </c>
      <c r="AV10">
        <f t="shared" si="21"/>
        <v>117.794939044881</v>
      </c>
      <c r="AW10">
        <f t="shared" si="22"/>
        <v>492854.02496378211</v>
      </c>
      <c r="AX10">
        <v>-95.811770509910701</v>
      </c>
      <c r="AY10">
        <f t="shared" si="23"/>
        <v>95.811770509910701</v>
      </c>
      <c r="AZ10" s="15">
        <v>104.95995509999899</v>
      </c>
      <c r="BA10" s="15">
        <f t="shared" si="24"/>
        <v>439152.45213839581</v>
      </c>
      <c r="BB10" s="15">
        <v>33.031118900000003</v>
      </c>
      <c r="BC10" s="15">
        <f t="shared" si="25"/>
        <v>138202.2014776</v>
      </c>
      <c r="BD10" s="15">
        <v>28.860505700000001</v>
      </c>
      <c r="BE10" s="15">
        <f t="shared" si="26"/>
        <v>120752.3558488</v>
      </c>
      <c r="BF10" s="15">
        <v>73.575093899999999</v>
      </c>
      <c r="BG10" s="15">
        <f t="shared" si="27"/>
        <v>307838.19287759997</v>
      </c>
      <c r="BH10" s="1" t="s">
        <v>81</v>
      </c>
      <c r="BI10" s="12">
        <v>174.90227844</v>
      </c>
      <c r="BJ10" s="16">
        <f t="shared" si="28"/>
        <v>731791.13299296005</v>
      </c>
      <c r="BK10" s="12">
        <v>172.4652336</v>
      </c>
      <c r="BL10" s="16">
        <f t="shared" si="29"/>
        <v>721594.53738240001</v>
      </c>
      <c r="BM10" s="1">
        <f t="shared" si="30"/>
        <v>2.4370448399999987</v>
      </c>
      <c r="BN10" s="1">
        <v>73.099999999999994</v>
      </c>
    </row>
    <row r="11" spans="1:74" x14ac:dyDescent="0.2">
      <c r="A11" s="1">
        <v>10</v>
      </c>
      <c r="B11" s="1" t="s">
        <v>83</v>
      </c>
      <c r="C11" s="1">
        <v>291</v>
      </c>
      <c r="D11" s="1">
        <f t="shared" si="0"/>
        <v>564.15</v>
      </c>
      <c r="E11" s="9">
        <v>1.6442000000000001</v>
      </c>
      <c r="F11" s="9">
        <f t="shared" si="1"/>
        <v>1.6442000000000001E-10</v>
      </c>
      <c r="G11" s="9">
        <v>13.24</v>
      </c>
      <c r="H11" s="10">
        <f t="shared" si="2"/>
        <v>1.324E-5</v>
      </c>
      <c r="I11" s="1">
        <v>1</v>
      </c>
      <c r="J11" s="1">
        <v>0</v>
      </c>
      <c r="K11" s="1" t="s">
        <v>66</v>
      </c>
      <c r="L11" s="1">
        <v>4</v>
      </c>
      <c r="M11" s="1">
        <v>4</v>
      </c>
      <c r="N11" s="11">
        <v>378.46609999040498</v>
      </c>
      <c r="O11" s="11">
        <f t="shared" si="3"/>
        <v>1583502.1623598544</v>
      </c>
      <c r="P11" s="1">
        <v>16.100000000000001</v>
      </c>
      <c r="Q11" s="1">
        <v>2.02</v>
      </c>
      <c r="R11" s="1">
        <f t="shared" si="4"/>
        <v>46.582210000000003</v>
      </c>
      <c r="S11" s="1">
        <f t="shared" si="5"/>
        <v>194899.96664000003</v>
      </c>
      <c r="T11" s="12">
        <v>-7.3456095000000001</v>
      </c>
      <c r="U11" s="12">
        <f t="shared" si="6"/>
        <v>7.3456095000000001</v>
      </c>
      <c r="V11" s="12">
        <v>1.06775964</v>
      </c>
      <c r="W11" s="12">
        <f t="shared" si="7"/>
        <v>-1.06775964</v>
      </c>
      <c r="X11" s="12">
        <v>-8.4133691000000006</v>
      </c>
      <c r="Y11" s="12">
        <f t="shared" si="8"/>
        <v>8.4133691000000006</v>
      </c>
      <c r="Z11" s="12">
        <f t="shared" si="9"/>
        <v>194.01649813055002</v>
      </c>
      <c r="AA11" s="13">
        <f t="shared" si="10"/>
        <v>811765.02817822131</v>
      </c>
      <c r="AB11" s="12">
        <v>-5.7325413699999999</v>
      </c>
      <c r="AC11" s="12">
        <f t="shared" si="11"/>
        <v>5.7325413699999999</v>
      </c>
      <c r="AD11" s="12">
        <v>-0.31619182000000001</v>
      </c>
      <c r="AE11" s="12">
        <f t="shared" si="12"/>
        <v>0.31619182000000001</v>
      </c>
      <c r="AF11" s="12">
        <v>-5.7153984400000004</v>
      </c>
      <c r="AG11" s="12">
        <f t="shared" si="13"/>
        <v>5.7153984400000004</v>
      </c>
      <c r="AH11" s="12">
        <f t="shared" si="14"/>
        <v>131.79994572562001</v>
      </c>
      <c r="AI11" s="12">
        <f t="shared" si="15"/>
        <v>551450.97291599412</v>
      </c>
      <c r="AJ11" s="12">
        <v>1</v>
      </c>
      <c r="AK11" s="12">
        <v>0</v>
      </c>
      <c r="AL11" s="1" t="s">
        <v>82</v>
      </c>
      <c r="AM11" s="1" t="s">
        <v>66</v>
      </c>
      <c r="AN11">
        <v>-170.90459034044</v>
      </c>
      <c r="AO11">
        <f t="shared" si="16"/>
        <v>170.90459034044</v>
      </c>
      <c r="AP11" s="14">
        <f t="shared" si="17"/>
        <v>715064.80598440091</v>
      </c>
      <c r="AQ11">
        <v>-114.83722013073</v>
      </c>
      <c r="AR11">
        <f t="shared" si="18"/>
        <v>114.83722013073</v>
      </c>
      <c r="AS11">
        <f t="shared" si="19"/>
        <v>-56.067370209709992</v>
      </c>
      <c r="AT11">
        <f t="shared" si="20"/>
        <v>56.067370209709992</v>
      </c>
      <c r="AU11">
        <v>-122.05930071804499</v>
      </c>
      <c r="AV11">
        <f t="shared" si="21"/>
        <v>122.05930071804499</v>
      </c>
      <c r="AW11">
        <f t="shared" si="22"/>
        <v>510696.11420430028</v>
      </c>
      <c r="AX11">
        <v>-99.311061673826401</v>
      </c>
      <c r="AY11">
        <f t="shared" si="23"/>
        <v>99.311061673826401</v>
      </c>
      <c r="AZ11" s="15">
        <v>105.064919959999</v>
      </c>
      <c r="BA11" s="15">
        <f t="shared" si="24"/>
        <v>439591.62511263584</v>
      </c>
      <c r="BB11" s="15">
        <v>37.325611699999897</v>
      </c>
      <c r="BC11" s="15">
        <f t="shared" si="25"/>
        <v>156170.35935279957</v>
      </c>
      <c r="BD11" s="15">
        <v>30.950973950000002</v>
      </c>
      <c r="BE11" s="15">
        <f t="shared" si="26"/>
        <v>129498.87500680001</v>
      </c>
      <c r="BF11" s="15">
        <v>73.316226059999906</v>
      </c>
      <c r="BG11" s="15">
        <f t="shared" si="27"/>
        <v>306755.08983503963</v>
      </c>
      <c r="BH11" s="1" t="s">
        <v>83</v>
      </c>
      <c r="BI11">
        <v>0</v>
      </c>
      <c r="BJ11" s="16">
        <f t="shared" si="28"/>
        <v>0</v>
      </c>
      <c r="BK11" s="1">
        <v>0</v>
      </c>
      <c r="BL11" s="16">
        <f t="shared" si="29"/>
        <v>0</v>
      </c>
      <c r="BM11" s="1">
        <v>0</v>
      </c>
      <c r="BN11" s="17">
        <v>102.5</v>
      </c>
    </row>
    <row r="12" spans="1:74" x14ac:dyDescent="0.2">
      <c r="A12" s="1">
        <v>11</v>
      </c>
      <c r="B12" s="1" t="s">
        <v>84</v>
      </c>
      <c r="C12" s="1">
        <v>301</v>
      </c>
      <c r="D12" s="1">
        <f t="shared" si="0"/>
        <v>574.15</v>
      </c>
      <c r="E12" s="9">
        <v>2.2252000000000001</v>
      </c>
      <c r="F12" s="9">
        <f t="shared" si="1"/>
        <v>2.2252000000000002E-10</v>
      </c>
      <c r="G12" s="9">
        <v>18.809999999999999</v>
      </c>
      <c r="H12" s="10">
        <f t="shared" si="2"/>
        <v>1.8809999999999998E-5</v>
      </c>
      <c r="I12" s="1">
        <v>1</v>
      </c>
      <c r="J12" s="1">
        <v>0</v>
      </c>
      <c r="K12" s="1" t="s">
        <v>66</v>
      </c>
      <c r="L12" s="1">
        <v>6</v>
      </c>
      <c r="M12" s="1">
        <v>6</v>
      </c>
      <c r="N12" s="11">
        <v>377.99170273280799</v>
      </c>
      <c r="O12" s="11">
        <f t="shared" si="3"/>
        <v>1581517.2842340686</v>
      </c>
      <c r="P12" s="1">
        <v>16.84</v>
      </c>
      <c r="Q12" s="1">
        <v>2.0299999999999998</v>
      </c>
      <c r="R12" s="1">
        <f t="shared" si="4"/>
        <v>46.812815000000001</v>
      </c>
      <c r="S12" s="1">
        <f t="shared" si="5"/>
        <v>195864.81796000001</v>
      </c>
      <c r="T12" s="12">
        <v>-7.3398951400000003</v>
      </c>
      <c r="U12" s="12">
        <f t="shared" si="6"/>
        <v>7.3398951400000003</v>
      </c>
      <c r="V12" s="12">
        <v>1.06748753</v>
      </c>
      <c r="W12" s="12">
        <f t="shared" si="7"/>
        <v>-1.06748753</v>
      </c>
      <c r="X12" s="12">
        <v>-8.4073826700000005</v>
      </c>
      <c r="Y12" s="12">
        <f t="shared" si="8"/>
        <v>8.4073826700000005</v>
      </c>
      <c r="Z12" s="12">
        <f t="shared" si="9"/>
        <v>193.87844806153501</v>
      </c>
      <c r="AA12" s="13">
        <f t="shared" si="10"/>
        <v>811187.4266894625</v>
      </c>
      <c r="AB12" s="12">
        <v>-5.7325413699999999</v>
      </c>
      <c r="AC12" s="12">
        <f t="shared" si="11"/>
        <v>5.7325413699999999</v>
      </c>
      <c r="AD12" s="12">
        <v>-0.31074962</v>
      </c>
      <c r="AE12" s="12">
        <f t="shared" si="12"/>
        <v>0.31074962</v>
      </c>
      <c r="AF12" s="12">
        <v>-5.7151263300000004</v>
      </c>
      <c r="AG12" s="12">
        <f t="shared" si="13"/>
        <v>5.7151263300000004</v>
      </c>
      <c r="AH12" s="12">
        <f t="shared" si="14"/>
        <v>131.79367073296501</v>
      </c>
      <c r="AI12" s="12">
        <f t="shared" si="15"/>
        <v>551424.71834672557</v>
      </c>
      <c r="AJ12" s="12">
        <v>1</v>
      </c>
      <c r="AK12" s="12">
        <v>0</v>
      </c>
      <c r="AL12" s="1" t="s">
        <v>82</v>
      </c>
      <c r="AM12" s="1" t="s">
        <v>66</v>
      </c>
      <c r="AN12">
        <v>-170.96526133916899</v>
      </c>
      <c r="AO12">
        <f t="shared" si="16"/>
        <v>170.96526133916899</v>
      </c>
      <c r="AP12" s="14">
        <f t="shared" si="17"/>
        <v>715318.65344308305</v>
      </c>
      <c r="AQ12">
        <v>-114.87678468551999</v>
      </c>
      <c r="AR12">
        <f t="shared" si="18"/>
        <v>114.87678468551999</v>
      </c>
      <c r="AS12">
        <f t="shared" si="19"/>
        <v>-56.088476653648996</v>
      </c>
      <c r="AT12">
        <f t="shared" si="20"/>
        <v>56.088476653648996</v>
      </c>
      <c r="AU12">
        <v>-122.05693523198801</v>
      </c>
      <c r="AV12">
        <f t="shared" si="21"/>
        <v>122.05693523198801</v>
      </c>
      <c r="AW12">
        <f t="shared" si="22"/>
        <v>510686.2170106378</v>
      </c>
      <c r="AX12">
        <v>-99.309167730290397</v>
      </c>
      <c r="AY12">
        <f t="shared" si="23"/>
        <v>99.309167730290397</v>
      </c>
      <c r="AZ12" s="15">
        <v>105.06295799999999</v>
      </c>
      <c r="BA12" s="15">
        <f t="shared" si="24"/>
        <v>439583.416272</v>
      </c>
      <c r="BB12" s="15">
        <v>37.327332249999998</v>
      </c>
      <c r="BC12" s="15">
        <f t="shared" si="25"/>
        <v>156177.55813399999</v>
      </c>
      <c r="BD12" s="15">
        <v>30.966458899999999</v>
      </c>
      <c r="BE12" s="15">
        <f t="shared" si="26"/>
        <v>129563.6640376</v>
      </c>
      <c r="BF12" s="15">
        <v>73.314877789999997</v>
      </c>
      <c r="BG12" s="15">
        <f t="shared" si="27"/>
        <v>306749.44867335999</v>
      </c>
      <c r="BH12" s="1" t="s">
        <v>84</v>
      </c>
      <c r="BI12">
        <v>0</v>
      </c>
      <c r="BJ12" s="16">
        <f t="shared" si="28"/>
        <v>0</v>
      </c>
      <c r="BK12" s="1">
        <v>0</v>
      </c>
      <c r="BL12" s="16">
        <f t="shared" si="29"/>
        <v>0</v>
      </c>
      <c r="BM12" s="1">
        <v>0</v>
      </c>
      <c r="BN12" s="17">
        <v>102.2</v>
      </c>
    </row>
    <row r="13" spans="1:74" x14ac:dyDescent="0.2">
      <c r="A13" s="1">
        <v>12</v>
      </c>
      <c r="B13" s="1" t="s">
        <v>85</v>
      </c>
      <c r="C13" s="1">
        <v>267</v>
      </c>
      <c r="D13" s="1">
        <f t="shared" si="0"/>
        <v>540.15</v>
      </c>
      <c r="E13" s="9">
        <v>1.1852</v>
      </c>
      <c r="F13" s="9">
        <f t="shared" si="1"/>
        <v>1.1852E-10</v>
      </c>
      <c r="G13" s="9">
        <v>7.68</v>
      </c>
      <c r="H13" s="10">
        <f t="shared" si="2"/>
        <v>7.6799999999999993E-6</v>
      </c>
      <c r="I13" s="1">
        <v>1</v>
      </c>
      <c r="J13" s="1">
        <v>0</v>
      </c>
      <c r="K13" s="1" t="s">
        <v>66</v>
      </c>
      <c r="L13" s="1">
        <v>2</v>
      </c>
      <c r="M13" s="1">
        <v>2</v>
      </c>
      <c r="N13" s="11">
        <v>379.57679198241902</v>
      </c>
      <c r="O13" s="11">
        <f t="shared" si="3"/>
        <v>1588149.2976544411</v>
      </c>
      <c r="P13" s="1">
        <v>15.5</v>
      </c>
      <c r="Q13" s="1">
        <v>2.0099999999999998</v>
      </c>
      <c r="R13" s="1">
        <f t="shared" si="4"/>
        <v>46.351604999999999</v>
      </c>
      <c r="S13" s="1">
        <f t="shared" si="5"/>
        <v>193935.11531999998</v>
      </c>
      <c r="T13" s="12">
        <v>-7.3529564199999999</v>
      </c>
      <c r="U13" s="12">
        <f t="shared" si="6"/>
        <v>7.3529564199999999</v>
      </c>
      <c r="V13" s="12">
        <v>1.00816755</v>
      </c>
      <c r="W13" s="12">
        <f t="shared" si="7"/>
        <v>-1.00816755</v>
      </c>
      <c r="X13" s="12">
        <v>-8.3611239699999995</v>
      </c>
      <c r="Y13" s="12">
        <f t="shared" si="8"/>
        <v>8.3611239699999995</v>
      </c>
      <c r="Z13" s="12">
        <f t="shared" si="9"/>
        <v>192.81169931018499</v>
      </c>
      <c r="AA13" s="13">
        <f t="shared" si="10"/>
        <v>806724.14991381404</v>
      </c>
      <c r="AB13" s="12">
        <v>-5.7325413699999999</v>
      </c>
      <c r="AC13" s="12">
        <f t="shared" si="11"/>
        <v>5.7325413699999999</v>
      </c>
      <c r="AD13" s="12">
        <v>-0.32898098999999997</v>
      </c>
      <c r="AE13" s="12">
        <f t="shared" si="12"/>
        <v>0.32898098999999997</v>
      </c>
      <c r="AF13" s="12">
        <v>-5.7194800900000002</v>
      </c>
      <c r="AG13" s="12">
        <f t="shared" si="13"/>
        <v>5.7194800900000002</v>
      </c>
      <c r="AH13" s="12">
        <f t="shared" si="14"/>
        <v>131.894070615445</v>
      </c>
      <c r="AI13" s="12">
        <f t="shared" si="15"/>
        <v>551844.79145502194</v>
      </c>
      <c r="AJ13" s="12">
        <v>1</v>
      </c>
      <c r="AK13" s="12">
        <v>0</v>
      </c>
      <c r="AL13" s="1" t="s">
        <v>82</v>
      </c>
      <c r="AM13" s="1" t="s">
        <v>66</v>
      </c>
      <c r="AN13">
        <v>-170.67082676546701</v>
      </c>
      <c r="AO13">
        <f t="shared" si="16"/>
        <v>170.67082676546701</v>
      </c>
      <c r="AP13" s="14">
        <f t="shared" si="17"/>
        <v>714086.73918671394</v>
      </c>
      <c r="AQ13">
        <v>-114.628898777023</v>
      </c>
      <c r="AR13">
        <f t="shared" si="18"/>
        <v>114.628898777023</v>
      </c>
      <c r="AS13">
        <f t="shared" si="19"/>
        <v>-56.041927988444016</v>
      </c>
      <c r="AT13">
        <f t="shared" si="20"/>
        <v>56.041927988444016</v>
      </c>
      <c r="AU13">
        <v>-122.08041191084</v>
      </c>
      <c r="AV13">
        <f t="shared" si="21"/>
        <v>122.08041191084</v>
      </c>
      <c r="AW13">
        <f t="shared" si="22"/>
        <v>510784.44343495456</v>
      </c>
      <c r="AX13">
        <v>-99.330430965009498</v>
      </c>
      <c r="AY13">
        <f t="shared" si="23"/>
        <v>99.330430965009498</v>
      </c>
      <c r="AZ13" s="15">
        <v>105.06001506</v>
      </c>
      <c r="BA13" s="15">
        <f t="shared" si="24"/>
        <v>439571.10301104002</v>
      </c>
      <c r="BB13" s="15">
        <v>37.224099250000002</v>
      </c>
      <c r="BC13" s="15">
        <f t="shared" si="25"/>
        <v>155745.63126200001</v>
      </c>
      <c r="BD13" s="15">
        <v>30.889034149999901</v>
      </c>
      <c r="BE13" s="15">
        <f t="shared" si="26"/>
        <v>129239.71888359959</v>
      </c>
      <c r="BF13" s="15">
        <v>73.316226059999906</v>
      </c>
      <c r="BG13" s="15">
        <f t="shared" si="27"/>
        <v>306755.08983503963</v>
      </c>
      <c r="BH13" s="1" t="s">
        <v>85</v>
      </c>
      <c r="BI13">
        <v>0</v>
      </c>
      <c r="BJ13" s="16">
        <f t="shared" si="28"/>
        <v>0</v>
      </c>
      <c r="BK13" s="1">
        <v>0</v>
      </c>
      <c r="BL13" s="16">
        <f t="shared" si="29"/>
        <v>0</v>
      </c>
      <c r="BM13" s="1">
        <v>0</v>
      </c>
      <c r="BN13" s="17">
        <v>102.5</v>
      </c>
    </row>
    <row r="14" spans="1:74" x14ac:dyDescent="0.2">
      <c r="A14" s="1">
        <v>13</v>
      </c>
      <c r="B14" s="1" t="s">
        <v>86</v>
      </c>
      <c r="C14" s="1">
        <v>323</v>
      </c>
      <c r="D14" s="1">
        <f t="shared" si="0"/>
        <v>596.15</v>
      </c>
      <c r="E14" s="9">
        <v>3.7898000000000001</v>
      </c>
      <c r="F14" s="9">
        <f t="shared" si="1"/>
        <v>3.7898000000000002E-10</v>
      </c>
      <c r="G14" s="9">
        <v>29.93</v>
      </c>
      <c r="H14" s="10">
        <f t="shared" si="2"/>
        <v>2.993E-5</v>
      </c>
      <c r="I14" s="1">
        <v>1</v>
      </c>
      <c r="J14" s="1">
        <v>0</v>
      </c>
      <c r="K14" s="1" t="s">
        <v>66</v>
      </c>
      <c r="L14" s="1">
        <v>10</v>
      </c>
      <c r="M14" s="1">
        <v>10</v>
      </c>
      <c r="N14" s="11">
        <v>377.770191843997</v>
      </c>
      <c r="O14" s="11">
        <f t="shared" si="3"/>
        <v>1580590.4826752834</v>
      </c>
      <c r="P14" s="1">
        <v>16.84</v>
      </c>
      <c r="Q14" s="1">
        <v>2.0299999999999998</v>
      </c>
      <c r="R14" s="1">
        <f t="shared" si="4"/>
        <v>46.812815000000001</v>
      </c>
      <c r="S14" s="1">
        <f t="shared" si="5"/>
        <v>195864.81796000001</v>
      </c>
      <c r="T14" s="12">
        <v>-7.3355414000000003</v>
      </c>
      <c r="U14" s="12">
        <f t="shared" si="6"/>
        <v>7.3355414000000003</v>
      </c>
      <c r="V14" s="12">
        <v>1.0699365199999999</v>
      </c>
      <c r="W14" s="12">
        <f t="shared" si="7"/>
        <v>-1.0699365199999999</v>
      </c>
      <c r="X14" s="12">
        <v>-8.4054778999999993</v>
      </c>
      <c r="Y14" s="12">
        <f t="shared" si="8"/>
        <v>8.4054778999999993</v>
      </c>
      <c r="Z14" s="12">
        <f t="shared" si="9"/>
        <v>193.83452311295</v>
      </c>
      <c r="AA14" s="13">
        <f t="shared" si="10"/>
        <v>811003.64470458275</v>
      </c>
      <c r="AB14" s="12">
        <v>-5.7325413699999999</v>
      </c>
      <c r="AC14" s="12">
        <f t="shared" si="11"/>
        <v>5.7325413699999999</v>
      </c>
      <c r="AD14" s="12">
        <v>-0.31129383999999999</v>
      </c>
      <c r="AE14" s="12">
        <f t="shared" si="12"/>
        <v>0.31129383999999999</v>
      </c>
      <c r="AF14" s="12">
        <v>-5.7110446799999997</v>
      </c>
      <c r="AG14" s="12">
        <f t="shared" si="13"/>
        <v>5.7110446799999997</v>
      </c>
      <c r="AH14" s="12">
        <f t="shared" si="14"/>
        <v>131.69954584313999</v>
      </c>
      <c r="AI14" s="12">
        <f t="shared" si="15"/>
        <v>551030.89980769774</v>
      </c>
      <c r="AJ14" s="12">
        <v>1</v>
      </c>
      <c r="AK14" s="12">
        <v>0</v>
      </c>
      <c r="AL14" s="1" t="s">
        <v>82</v>
      </c>
      <c r="AM14" s="1" t="s">
        <v>66</v>
      </c>
      <c r="AN14">
        <v>-170.98638191664199</v>
      </c>
      <c r="AO14">
        <f t="shared" si="16"/>
        <v>170.98638191664199</v>
      </c>
      <c r="AP14" s="14">
        <f t="shared" si="17"/>
        <v>715407.02193923004</v>
      </c>
      <c r="AQ14">
        <v>-114.899195326862</v>
      </c>
      <c r="AR14">
        <f t="shared" si="18"/>
        <v>114.899195326862</v>
      </c>
      <c r="AS14">
        <f t="shared" si="19"/>
        <v>-56.087186589779989</v>
      </c>
      <c r="AT14">
        <f t="shared" si="20"/>
        <v>56.087186589779989</v>
      </c>
      <c r="AU14">
        <v>-122.058399300264</v>
      </c>
      <c r="AV14">
        <f t="shared" si="21"/>
        <v>122.058399300264</v>
      </c>
      <c r="AW14">
        <f t="shared" si="22"/>
        <v>510692.3426723046</v>
      </c>
      <c r="AX14">
        <v>-99.309761147021902</v>
      </c>
      <c r="AY14">
        <f t="shared" si="23"/>
        <v>99.309761147021902</v>
      </c>
      <c r="AZ14" s="15">
        <v>105.05903407999899</v>
      </c>
      <c r="BA14" s="15">
        <f t="shared" si="24"/>
        <v>439566.99859071581</v>
      </c>
      <c r="BB14" s="15">
        <v>37.318729500000003</v>
      </c>
      <c r="BC14" s="15">
        <f t="shared" si="25"/>
        <v>156141.564228</v>
      </c>
      <c r="BD14" s="15">
        <v>30.961297250000001</v>
      </c>
      <c r="BE14" s="15">
        <f t="shared" si="26"/>
        <v>129542.06769400001</v>
      </c>
      <c r="BF14" s="15">
        <v>73.316226059999906</v>
      </c>
      <c r="BG14" s="15">
        <f t="shared" si="27"/>
        <v>306755.08983503963</v>
      </c>
      <c r="BH14" s="1" t="s">
        <v>86</v>
      </c>
      <c r="BI14" s="1">
        <v>0</v>
      </c>
      <c r="BJ14" s="16">
        <f t="shared" si="28"/>
        <v>0</v>
      </c>
      <c r="BK14" s="1">
        <v>0</v>
      </c>
      <c r="BL14" s="16">
        <f t="shared" si="29"/>
        <v>0</v>
      </c>
      <c r="BM14" s="1">
        <v>0</v>
      </c>
      <c r="BN14" s="17">
        <v>102.2</v>
      </c>
    </row>
    <row r="15" spans="1:74" x14ac:dyDescent="0.2">
      <c r="A15" s="1">
        <v>15</v>
      </c>
      <c r="B15" s="1" t="s">
        <v>87</v>
      </c>
      <c r="C15" s="1">
        <v>290.04000000000002</v>
      </c>
      <c r="D15" s="1">
        <f t="shared" si="0"/>
        <v>563.19000000000005</v>
      </c>
      <c r="E15" s="9">
        <v>1.7182999999999999</v>
      </c>
      <c r="F15" s="9">
        <f t="shared" si="1"/>
        <v>1.7182999999999999E-10</v>
      </c>
      <c r="G15" s="9">
        <v>17.52</v>
      </c>
      <c r="H15" s="10">
        <f t="shared" si="2"/>
        <v>1.7519999999999998E-5</v>
      </c>
      <c r="I15" s="1">
        <v>0</v>
      </c>
      <c r="J15" s="1">
        <v>0</v>
      </c>
      <c r="K15" s="1" t="s">
        <v>66</v>
      </c>
      <c r="L15" s="1">
        <v>1</v>
      </c>
      <c r="M15" s="1"/>
      <c r="N15" s="11">
        <v>374.619466142433</v>
      </c>
      <c r="O15" s="11">
        <f t="shared" si="3"/>
        <v>1567407.8463399396</v>
      </c>
      <c r="P15" s="1">
        <v>18</v>
      </c>
      <c r="Q15" s="1">
        <v>2.1</v>
      </c>
      <c r="R15" s="1">
        <f t="shared" si="4"/>
        <v>48.427050000000001</v>
      </c>
      <c r="S15" s="1">
        <f t="shared" si="5"/>
        <v>202618.77720000001</v>
      </c>
      <c r="T15" s="12">
        <v>-7.2647927799999996</v>
      </c>
      <c r="U15" s="12">
        <f t="shared" si="6"/>
        <v>7.2647927799999996</v>
      </c>
      <c r="V15" s="12">
        <v>0.79265642999999997</v>
      </c>
      <c r="W15" s="12">
        <f t="shared" si="7"/>
        <v>-0.79265642999999997</v>
      </c>
      <c r="X15" s="12">
        <v>-8.0574492099999997</v>
      </c>
      <c r="Y15" s="12">
        <f t="shared" si="8"/>
        <v>8.0574492099999997</v>
      </c>
      <c r="Z15" s="12">
        <f t="shared" si="9"/>
        <v>185.80880750720499</v>
      </c>
      <c r="AA15" s="13">
        <f t="shared" si="10"/>
        <v>777424.05061014567</v>
      </c>
      <c r="AB15" s="12">
        <v>-5.7325413699999999</v>
      </c>
      <c r="AC15" s="12">
        <f t="shared" si="11"/>
        <v>5.7325413699999999</v>
      </c>
      <c r="AD15" s="12">
        <v>-0.25061330999999998</v>
      </c>
      <c r="AE15" s="12">
        <f t="shared" si="12"/>
        <v>0.25061330999999998</v>
      </c>
      <c r="AF15" s="12">
        <v>-5.6634254300000002</v>
      </c>
      <c r="AG15" s="12">
        <f t="shared" si="13"/>
        <v>5.6634254300000002</v>
      </c>
      <c r="AH15" s="12">
        <f t="shared" si="14"/>
        <v>130.601422128515</v>
      </c>
      <c r="AI15" s="12">
        <f t="shared" si="15"/>
        <v>546436.35018570675</v>
      </c>
      <c r="AJ15" s="12">
        <v>1</v>
      </c>
      <c r="AK15" s="12">
        <v>0</v>
      </c>
      <c r="AL15" s="1" t="s">
        <v>82</v>
      </c>
      <c r="AM15" s="1" t="s">
        <v>66</v>
      </c>
      <c r="AN15">
        <v>-172.462963797866</v>
      </c>
      <c r="AO15">
        <f t="shared" si="16"/>
        <v>172.462963797866</v>
      </c>
      <c r="AP15" s="14">
        <f t="shared" si="17"/>
        <v>721585.04053027136</v>
      </c>
      <c r="AQ15">
        <v>-115.9597469118</v>
      </c>
      <c r="AR15">
        <f t="shared" si="18"/>
        <v>115.9597469118</v>
      </c>
      <c r="AS15">
        <f t="shared" si="19"/>
        <v>-56.503216886065999</v>
      </c>
      <c r="AT15">
        <f t="shared" si="20"/>
        <v>56.503216886065999</v>
      </c>
      <c r="AU15">
        <v>-121.01919980309501</v>
      </c>
      <c r="AV15">
        <f t="shared" si="21"/>
        <v>121.01919980309501</v>
      </c>
      <c r="AW15">
        <f t="shared" si="22"/>
        <v>506344.33197614952</v>
      </c>
      <c r="AX15">
        <v>-98.596047391916002</v>
      </c>
      <c r="AY15">
        <f t="shared" si="23"/>
        <v>98.596047391916002</v>
      </c>
      <c r="AZ15" s="15">
        <v>104.49791352</v>
      </c>
      <c r="BA15" s="15">
        <f t="shared" si="24"/>
        <v>437219.27016767999</v>
      </c>
      <c r="BB15" s="15">
        <v>35.321170949999903</v>
      </c>
      <c r="BC15" s="15">
        <f t="shared" si="25"/>
        <v>147783.77925479959</v>
      </c>
      <c r="BD15" s="15">
        <v>30.729023000000002</v>
      </c>
      <c r="BE15" s="15">
        <f t="shared" si="26"/>
        <v>128570.23223200001</v>
      </c>
      <c r="BF15" s="15">
        <v>73.456446139999997</v>
      </c>
      <c r="BG15" s="15">
        <f t="shared" si="27"/>
        <v>307341.77064975997</v>
      </c>
      <c r="BH15" s="1" t="s">
        <v>87</v>
      </c>
      <c r="BI15">
        <v>0</v>
      </c>
      <c r="BJ15" s="16">
        <f t="shared" si="28"/>
        <v>0</v>
      </c>
      <c r="BK15" s="1">
        <v>0</v>
      </c>
      <c r="BL15" s="16">
        <f t="shared" si="29"/>
        <v>0</v>
      </c>
      <c r="BM15" s="1">
        <v>0</v>
      </c>
      <c r="BN15" s="1">
        <v>101.4</v>
      </c>
    </row>
    <row r="16" spans="1:74" x14ac:dyDescent="0.2">
      <c r="A16" s="1">
        <v>14</v>
      </c>
      <c r="B16" s="1" t="s">
        <v>88</v>
      </c>
      <c r="C16" s="1">
        <v>252</v>
      </c>
      <c r="D16" s="1">
        <f t="shared" si="0"/>
        <v>525.15</v>
      </c>
      <c r="E16" s="9">
        <v>1.7464999999999999</v>
      </c>
      <c r="F16" s="9">
        <f t="shared" si="1"/>
        <v>1.7465000000000001E-10</v>
      </c>
      <c r="G16" s="9">
        <v>16.93</v>
      </c>
      <c r="H16" s="10">
        <f t="shared" si="2"/>
        <v>1.6929999999999999E-5</v>
      </c>
      <c r="I16" s="1">
        <v>0</v>
      </c>
      <c r="J16" s="1">
        <v>0</v>
      </c>
      <c r="K16" s="1" t="s">
        <v>71</v>
      </c>
      <c r="L16" s="1">
        <v>1</v>
      </c>
      <c r="M16" s="1"/>
      <c r="N16" s="11">
        <v>349.26368573522302</v>
      </c>
      <c r="O16" s="11">
        <f t="shared" si="3"/>
        <v>1461319.2611161731</v>
      </c>
      <c r="P16" s="1">
        <v>10</v>
      </c>
      <c r="Q16" s="1">
        <v>3.15</v>
      </c>
      <c r="R16" s="1">
        <f t="shared" si="4"/>
        <v>72.640574999999998</v>
      </c>
      <c r="S16" s="1">
        <f t="shared" si="5"/>
        <v>303928.16580000002</v>
      </c>
      <c r="T16" s="12">
        <v>-6.2190740499999997</v>
      </c>
      <c r="U16" s="12">
        <f t="shared" si="6"/>
        <v>6.2190740499999997</v>
      </c>
      <c r="V16" s="12">
        <v>-0.31455916</v>
      </c>
      <c r="W16" s="12">
        <f t="shared" si="7"/>
        <v>0.31455916</v>
      </c>
      <c r="X16" s="12">
        <v>-5.9045148899999997</v>
      </c>
      <c r="Y16" s="12">
        <f t="shared" si="8"/>
        <v>5.9045148899999997</v>
      </c>
      <c r="Z16" s="12">
        <f t="shared" si="9"/>
        <v>136.16106562084499</v>
      </c>
      <c r="AA16" s="13">
        <f t="shared" si="10"/>
        <v>569697.89855761547</v>
      </c>
      <c r="AB16" s="12">
        <v>-5.7325413699999999</v>
      </c>
      <c r="AC16" s="12">
        <f t="shared" si="11"/>
        <v>5.7325413699999999</v>
      </c>
      <c r="AD16" s="12">
        <v>-0.52789339999999996</v>
      </c>
      <c r="AE16" s="12">
        <f t="shared" si="12"/>
        <v>0.52789339999999996</v>
      </c>
      <c r="AF16" s="12">
        <v>-5.5306357500000001</v>
      </c>
      <c r="AG16" s="12">
        <f t="shared" si="13"/>
        <v>5.5306357500000001</v>
      </c>
      <c r="AH16" s="12">
        <f t="shared" si="14"/>
        <v>127.53922571287501</v>
      </c>
      <c r="AI16" s="12">
        <f t="shared" si="15"/>
        <v>533624.12038266903</v>
      </c>
      <c r="AJ16" s="12">
        <v>1</v>
      </c>
      <c r="AK16" s="12">
        <v>0</v>
      </c>
      <c r="AL16" s="1" t="s">
        <v>82</v>
      </c>
      <c r="AM16" s="1" t="s">
        <v>71</v>
      </c>
      <c r="AN16">
        <v>-165.137808101356</v>
      </c>
      <c r="AO16">
        <f t="shared" si="16"/>
        <v>165.137808101356</v>
      </c>
      <c r="AP16" s="14">
        <f t="shared" si="17"/>
        <v>690936.58909607353</v>
      </c>
      <c r="AQ16">
        <v>-110.793156929075</v>
      </c>
      <c r="AR16">
        <f t="shared" si="18"/>
        <v>110.793156929075</v>
      </c>
      <c r="AS16">
        <f t="shared" si="19"/>
        <v>-54.344651172281004</v>
      </c>
      <c r="AT16">
        <f t="shared" si="20"/>
        <v>54.344651172281004</v>
      </c>
      <c r="AU16">
        <v>-121.03135493262801</v>
      </c>
      <c r="AV16">
        <f t="shared" si="21"/>
        <v>121.03135493262801</v>
      </c>
      <c r="AW16">
        <f t="shared" si="22"/>
        <v>506395.18903811555</v>
      </c>
      <c r="AX16">
        <v>-98.640492519539904</v>
      </c>
      <c r="AY16">
        <f t="shared" si="23"/>
        <v>98.640492519539904</v>
      </c>
      <c r="AZ16" s="15">
        <v>104.69509050000001</v>
      </c>
      <c r="BA16" s="15">
        <f t="shared" si="24"/>
        <v>438044.25865200005</v>
      </c>
      <c r="BB16" s="15">
        <v>38.419881500000002</v>
      </c>
      <c r="BC16" s="15">
        <f t="shared" si="25"/>
        <v>160748.78419600002</v>
      </c>
      <c r="BD16" s="15">
        <v>33.812248599999997</v>
      </c>
      <c r="BE16" s="15">
        <f t="shared" si="26"/>
        <v>141470.44814239998</v>
      </c>
      <c r="BF16" s="15">
        <v>73.595317949999995</v>
      </c>
      <c r="BG16" s="15">
        <f t="shared" si="27"/>
        <v>307922.81030279998</v>
      </c>
      <c r="BH16" s="1" t="s">
        <v>88</v>
      </c>
      <c r="BI16" s="12">
        <v>35.465199059999897</v>
      </c>
      <c r="BJ16" s="16">
        <f t="shared" si="28"/>
        <v>148386.39286703957</v>
      </c>
      <c r="BK16" s="12">
        <v>38.492869040000102</v>
      </c>
      <c r="BL16" s="16">
        <f t="shared" si="29"/>
        <v>161054.16406336043</v>
      </c>
      <c r="BM16" s="1">
        <f t="shared" si="30"/>
        <v>-3.0276699800002049</v>
      </c>
      <c r="BN16" s="1">
        <v>80.099999999999994</v>
      </c>
      <c r="BO16">
        <v>4.1878000000000002</v>
      </c>
      <c r="BP16">
        <v>3.6</v>
      </c>
    </row>
    <row r="17" spans="1:68" x14ac:dyDescent="0.2">
      <c r="A17" s="1">
        <v>16</v>
      </c>
      <c r="B17" s="1" t="s">
        <v>89</v>
      </c>
      <c r="C17" s="1">
        <v>227</v>
      </c>
      <c r="D17" s="1">
        <f t="shared" si="0"/>
        <v>500.15</v>
      </c>
      <c r="E17" s="9">
        <v>2.4024999999999999</v>
      </c>
      <c r="F17" s="9">
        <f t="shared" si="1"/>
        <v>2.4024999999999997E-10</v>
      </c>
      <c r="G17" s="9">
        <v>24.35</v>
      </c>
      <c r="H17" s="10">
        <f t="shared" si="2"/>
        <v>2.4349999999999999E-5</v>
      </c>
      <c r="I17" s="1">
        <v>0</v>
      </c>
      <c r="J17" s="1">
        <v>0</v>
      </c>
      <c r="K17" s="1" t="s">
        <v>71</v>
      </c>
      <c r="L17" s="1">
        <v>3</v>
      </c>
      <c r="M17" s="1"/>
      <c r="N17" s="11">
        <v>354.83910853123598</v>
      </c>
      <c r="O17" s="11">
        <f t="shared" si="3"/>
        <v>1484646.8300946914</v>
      </c>
      <c r="P17" s="1">
        <v>11.43</v>
      </c>
      <c r="Q17" s="1">
        <v>2.89</v>
      </c>
      <c r="R17" s="1">
        <f t="shared" si="4"/>
        <v>66.644845000000004</v>
      </c>
      <c r="S17" s="1">
        <f t="shared" si="5"/>
        <v>278842.03148000001</v>
      </c>
      <c r="T17" s="12">
        <v>-6.4783948799999997</v>
      </c>
      <c r="U17" s="12">
        <f t="shared" si="6"/>
        <v>6.4783948799999997</v>
      </c>
      <c r="V17" s="12">
        <v>-1.06503854</v>
      </c>
      <c r="W17" s="12">
        <f t="shared" si="7"/>
        <v>1.06503854</v>
      </c>
      <c r="X17" s="12">
        <v>-5.41335634</v>
      </c>
      <c r="Y17" s="12">
        <f t="shared" si="8"/>
        <v>5.41335634</v>
      </c>
      <c r="Z17" s="12">
        <f t="shared" si="9"/>
        <v>124.83470387857001</v>
      </c>
      <c r="AA17" s="13">
        <f t="shared" si="10"/>
        <v>522308.4010279369</v>
      </c>
      <c r="AB17" s="12">
        <v>-5.7325413699999999</v>
      </c>
      <c r="AC17" s="12">
        <f t="shared" si="11"/>
        <v>5.7325413699999999</v>
      </c>
      <c r="AD17" s="12">
        <v>-1.6231361500000001</v>
      </c>
      <c r="AE17" s="12">
        <f t="shared" si="12"/>
        <v>1.6231361500000001</v>
      </c>
      <c r="AF17" s="12">
        <v>-4.2985216700000004</v>
      </c>
      <c r="AG17" s="12">
        <f t="shared" si="13"/>
        <v>4.2985216700000004</v>
      </c>
      <c r="AH17" s="12">
        <f t="shared" si="14"/>
        <v>99.126058971035008</v>
      </c>
      <c r="AI17" s="12">
        <f t="shared" si="15"/>
        <v>414743.43073481048</v>
      </c>
      <c r="AJ17" s="12">
        <v>1</v>
      </c>
      <c r="AK17" s="12">
        <v>0</v>
      </c>
      <c r="AL17" s="1" t="s">
        <v>82</v>
      </c>
      <c r="AM17" s="1" t="s">
        <v>71</v>
      </c>
      <c r="AN17">
        <v>-159.18115600147399</v>
      </c>
      <c r="AO17">
        <f t="shared" si="16"/>
        <v>159.18115600147399</v>
      </c>
      <c r="AP17" s="14">
        <f t="shared" si="17"/>
        <v>666013.95671016723</v>
      </c>
      <c r="AQ17">
        <v>-105.575860821226</v>
      </c>
      <c r="AR17">
        <f t="shared" si="18"/>
        <v>105.575860821226</v>
      </c>
      <c r="AS17">
        <f t="shared" si="19"/>
        <v>-53.605295180247992</v>
      </c>
      <c r="AT17">
        <f t="shared" si="20"/>
        <v>53.605295180247992</v>
      </c>
      <c r="AU17">
        <v>-117.66986664568</v>
      </c>
      <c r="AV17">
        <f t="shared" si="21"/>
        <v>117.66986664568</v>
      </c>
      <c r="AW17">
        <f t="shared" si="22"/>
        <v>492330.72204552515</v>
      </c>
      <c r="AX17">
        <v>-95.705209422937898</v>
      </c>
      <c r="AY17">
        <f t="shared" si="23"/>
        <v>95.705209422937898</v>
      </c>
      <c r="AZ17" s="15">
        <v>104.95112628</v>
      </c>
      <c r="BA17" s="15">
        <f t="shared" si="24"/>
        <v>439115.51235551998</v>
      </c>
      <c r="BB17" s="15">
        <v>33.485344099999999</v>
      </c>
      <c r="BC17" s="15">
        <f t="shared" si="25"/>
        <v>140102.6797144</v>
      </c>
      <c r="BD17" s="15">
        <v>29.213218449999999</v>
      </c>
      <c r="BE17" s="15">
        <f t="shared" si="26"/>
        <v>122228.1059948</v>
      </c>
      <c r="BF17" s="15">
        <v>73.608800649999907</v>
      </c>
      <c r="BG17" s="15">
        <f t="shared" si="27"/>
        <v>307979.22191959963</v>
      </c>
      <c r="BH17" s="1" t="s">
        <v>89</v>
      </c>
      <c r="BI17" s="12">
        <v>153.23988634</v>
      </c>
      <c r="BJ17" s="16">
        <f t="shared" si="28"/>
        <v>641155.68444655999</v>
      </c>
      <c r="BK17" s="12">
        <v>150.59110512000001</v>
      </c>
      <c r="BL17" s="16">
        <f t="shared" si="29"/>
        <v>630073.18382208003</v>
      </c>
      <c r="BM17" s="1">
        <f t="shared" si="30"/>
        <v>2.6487812199999894</v>
      </c>
      <c r="BN17" s="1">
        <v>71</v>
      </c>
      <c r="BO17">
        <v>5.9084000000000003</v>
      </c>
      <c r="BP17">
        <v>4.4480000000000004</v>
      </c>
    </row>
    <row r="18" spans="1:68" x14ac:dyDescent="0.2">
      <c r="A18" s="1">
        <v>17</v>
      </c>
      <c r="B18" s="1" t="s">
        <v>90</v>
      </c>
      <c r="C18" s="1">
        <v>299</v>
      </c>
      <c r="D18" s="1">
        <f t="shared" si="0"/>
        <v>572.15</v>
      </c>
      <c r="E18" s="9">
        <v>1.9990000000000001</v>
      </c>
      <c r="F18" s="9">
        <f t="shared" si="1"/>
        <v>1.9990000000000003E-10</v>
      </c>
      <c r="G18" s="9">
        <v>19.489999999999998</v>
      </c>
      <c r="H18" s="10">
        <f t="shared" si="2"/>
        <v>1.9489999999999998E-5</v>
      </c>
      <c r="I18" s="1">
        <v>0</v>
      </c>
      <c r="J18" s="1">
        <v>0</v>
      </c>
      <c r="K18" s="1" t="s">
        <v>71</v>
      </c>
      <c r="L18" s="1">
        <v>2</v>
      </c>
      <c r="M18" s="1"/>
      <c r="N18" s="11">
        <v>371.07403690239499</v>
      </c>
      <c r="O18" s="11">
        <f t="shared" si="3"/>
        <v>1552573.7703996208</v>
      </c>
      <c r="P18" s="1">
        <v>15.4</v>
      </c>
      <c r="Q18" s="1">
        <v>2.77</v>
      </c>
      <c r="R18" s="1">
        <f t="shared" si="4"/>
        <v>63.877585000000003</v>
      </c>
      <c r="S18" s="1">
        <f t="shared" si="5"/>
        <v>267263.81563999999</v>
      </c>
      <c r="T18" s="12">
        <v>-6.5954021799999998</v>
      </c>
      <c r="U18" s="12">
        <f t="shared" si="6"/>
        <v>6.5954021799999998</v>
      </c>
      <c r="V18" s="12">
        <v>-0.21768799999999999</v>
      </c>
      <c r="W18" s="12">
        <f t="shared" si="7"/>
        <v>0.21768799999999999</v>
      </c>
      <c r="X18" s="12">
        <v>-6.3777141799999999</v>
      </c>
      <c r="Y18" s="12">
        <f t="shared" si="8"/>
        <v>6.3777141799999999</v>
      </c>
      <c r="Z18" s="12">
        <f t="shared" si="9"/>
        <v>147.07327784789001</v>
      </c>
      <c r="AA18" s="13">
        <f t="shared" si="10"/>
        <v>615354.59451557184</v>
      </c>
      <c r="AB18" s="12">
        <v>-5.7325413699999999</v>
      </c>
      <c r="AC18" s="12">
        <f t="shared" si="11"/>
        <v>5.7325413699999999</v>
      </c>
      <c r="AD18" s="12">
        <v>-0.65877830999999998</v>
      </c>
      <c r="AE18" s="12">
        <f t="shared" si="12"/>
        <v>0.65877830999999998</v>
      </c>
      <c r="AF18" s="12">
        <v>-5.26614483</v>
      </c>
      <c r="AG18" s="12">
        <f t="shared" si="13"/>
        <v>5.26614483</v>
      </c>
      <c r="AH18" s="12">
        <f t="shared" si="14"/>
        <v>121.43993285221501</v>
      </c>
      <c r="AI18" s="12">
        <f t="shared" si="15"/>
        <v>508104.67905366758</v>
      </c>
      <c r="AJ18" s="12">
        <v>1</v>
      </c>
      <c r="AK18" s="12">
        <v>0</v>
      </c>
      <c r="AL18" s="1" t="s">
        <v>82</v>
      </c>
      <c r="AM18" s="1" t="s">
        <v>71</v>
      </c>
      <c r="AN18">
        <v>-170.412321791067</v>
      </c>
      <c r="AO18">
        <f t="shared" si="16"/>
        <v>170.412321791067</v>
      </c>
      <c r="AP18" s="14">
        <f t="shared" si="17"/>
        <v>713005.15437382436</v>
      </c>
      <c r="AQ18">
        <v>-114.996954308143</v>
      </c>
      <c r="AR18">
        <f t="shared" si="18"/>
        <v>114.996954308143</v>
      </c>
      <c r="AS18">
        <f t="shared" si="19"/>
        <v>-55.415367482923997</v>
      </c>
      <c r="AT18">
        <f t="shared" si="20"/>
        <v>55.415367482923997</v>
      </c>
      <c r="AU18">
        <v>-121.059590157603</v>
      </c>
      <c r="AV18">
        <f t="shared" si="21"/>
        <v>121.059590157603</v>
      </c>
      <c r="AW18">
        <f t="shared" si="22"/>
        <v>506513.32521941094</v>
      </c>
      <c r="AX18">
        <v>-98.659740956837197</v>
      </c>
      <c r="AY18">
        <f t="shared" si="23"/>
        <v>98.659740956837197</v>
      </c>
      <c r="AZ18" s="15">
        <v>104.53715271999999</v>
      </c>
      <c r="BA18" s="15">
        <f t="shared" si="24"/>
        <v>437383.44698047999</v>
      </c>
      <c r="BB18" s="15">
        <v>34.811888149999902</v>
      </c>
      <c r="BC18" s="15">
        <f t="shared" si="25"/>
        <v>145652.9400195996</v>
      </c>
      <c r="BD18" s="15">
        <v>31.474021149999999</v>
      </c>
      <c r="BE18" s="15">
        <f t="shared" si="26"/>
        <v>131687.30449159999</v>
      </c>
      <c r="BF18" s="15">
        <v>73.507680399999899</v>
      </c>
      <c r="BG18" s="15">
        <f t="shared" si="27"/>
        <v>307556.1347935996</v>
      </c>
      <c r="BH18" s="1" t="s">
        <v>90</v>
      </c>
      <c r="BI18" s="12">
        <v>26.935449240000199</v>
      </c>
      <c r="BJ18" s="16">
        <f t="shared" si="28"/>
        <v>112697.91962016083</v>
      </c>
      <c r="BK18" s="12">
        <v>27.235404600000098</v>
      </c>
      <c r="BL18" s="16">
        <f t="shared" si="29"/>
        <v>113952.93284640041</v>
      </c>
      <c r="BM18" s="1">
        <f t="shared" si="30"/>
        <v>-0.29995535999989897</v>
      </c>
      <c r="BN18" s="1">
        <v>100.6</v>
      </c>
      <c r="BO18">
        <v>4.8621999999999996</v>
      </c>
      <c r="BP18">
        <v>4.1399999999999997</v>
      </c>
    </row>
    <row r="19" spans="1:68" x14ac:dyDescent="0.2">
      <c r="A19" s="1">
        <v>18</v>
      </c>
      <c r="B19" s="1" t="s">
        <v>91</v>
      </c>
      <c r="C19" s="1">
        <v>308</v>
      </c>
      <c r="D19" s="1">
        <f t="shared" si="0"/>
        <v>581.15</v>
      </c>
      <c r="E19" s="9">
        <v>2.1760000000000002</v>
      </c>
      <c r="F19" s="9">
        <f t="shared" si="1"/>
        <v>2.1760000000000003E-10</v>
      </c>
      <c r="G19" s="9">
        <v>22.42</v>
      </c>
      <c r="H19" s="10">
        <f t="shared" si="2"/>
        <v>2.2420000000000002E-5</v>
      </c>
      <c r="I19" s="1">
        <v>0</v>
      </c>
      <c r="J19" s="1">
        <v>0</v>
      </c>
      <c r="K19" s="1" t="s">
        <v>71</v>
      </c>
      <c r="L19" s="1">
        <v>3</v>
      </c>
      <c r="M19" s="1"/>
      <c r="N19" s="11">
        <v>372.26442261358602</v>
      </c>
      <c r="O19" s="11">
        <f t="shared" si="3"/>
        <v>1557554.3442152438</v>
      </c>
      <c r="P19" s="1">
        <v>15.88</v>
      </c>
      <c r="Q19" s="1">
        <v>2.61</v>
      </c>
      <c r="R19" s="1">
        <f t="shared" si="4"/>
        <v>60.187905000000001</v>
      </c>
      <c r="S19" s="1">
        <f t="shared" si="5"/>
        <v>251826.19451999999</v>
      </c>
      <c r="T19" s="12">
        <v>-6.7605729500000002</v>
      </c>
      <c r="U19" s="12">
        <f t="shared" si="6"/>
        <v>6.7605729500000002</v>
      </c>
      <c r="V19" s="12">
        <v>-0.2802733</v>
      </c>
      <c r="W19" s="12">
        <f t="shared" si="7"/>
        <v>0.2802733</v>
      </c>
      <c r="X19" s="12">
        <v>-6.4802996500000001</v>
      </c>
      <c r="Y19" s="12">
        <f t="shared" si="8"/>
        <v>6.4802996500000001</v>
      </c>
      <c r="Z19" s="12">
        <f t="shared" si="9"/>
        <v>149.438950078825</v>
      </c>
      <c r="AA19" s="13">
        <f t="shared" si="10"/>
        <v>625252.56712980382</v>
      </c>
      <c r="AB19" s="12">
        <v>-5.7325413699999999</v>
      </c>
      <c r="AC19" s="12">
        <f t="shared" si="11"/>
        <v>5.7325413699999999</v>
      </c>
      <c r="AD19" s="12">
        <v>-0.408165</v>
      </c>
      <c r="AE19" s="12">
        <f t="shared" si="12"/>
        <v>0.408165</v>
      </c>
      <c r="AF19" s="12">
        <v>-5.5292751999999998</v>
      </c>
      <c r="AG19" s="12">
        <f t="shared" si="13"/>
        <v>5.5292751999999998</v>
      </c>
      <c r="AH19" s="12">
        <f t="shared" si="14"/>
        <v>127.5078507496</v>
      </c>
      <c r="AI19" s="12">
        <f t="shared" si="15"/>
        <v>533492.84753632639</v>
      </c>
      <c r="AJ19" s="12">
        <v>1</v>
      </c>
      <c r="AK19" s="12">
        <v>0</v>
      </c>
      <c r="AL19" s="1" t="s">
        <v>82</v>
      </c>
      <c r="AM19" s="1" t="s">
        <v>71</v>
      </c>
      <c r="AN19">
        <v>-170.95069532964001</v>
      </c>
      <c r="AO19">
        <f t="shared" si="16"/>
        <v>170.95069532964001</v>
      </c>
      <c r="AP19" s="14">
        <f t="shared" si="17"/>
        <v>715257.70925921376</v>
      </c>
      <c r="AQ19">
        <v>-115.338091118234</v>
      </c>
      <c r="AR19">
        <f t="shared" si="18"/>
        <v>115.338091118234</v>
      </c>
      <c r="AS19">
        <f t="shared" si="19"/>
        <v>-55.612604211406008</v>
      </c>
      <c r="AT19">
        <f t="shared" si="20"/>
        <v>55.612604211406008</v>
      </c>
      <c r="AU19">
        <v>-121.095532246654</v>
      </c>
      <c r="AV19">
        <f t="shared" si="21"/>
        <v>121.095532246654</v>
      </c>
      <c r="AW19">
        <f t="shared" si="22"/>
        <v>506663.70692000038</v>
      </c>
      <c r="AX19">
        <v>-98.680816483477599</v>
      </c>
      <c r="AY19">
        <f t="shared" si="23"/>
        <v>98.680816483477599</v>
      </c>
      <c r="AZ19" s="15">
        <v>104.64996542</v>
      </c>
      <c r="BA19" s="15">
        <f t="shared" si="24"/>
        <v>437855.45531728002</v>
      </c>
      <c r="BB19" s="15">
        <v>35.393434050000003</v>
      </c>
      <c r="BC19" s="15">
        <f t="shared" si="25"/>
        <v>148086.12806520003</v>
      </c>
      <c r="BD19" s="15">
        <v>31.0456041999999</v>
      </c>
      <c r="BE19" s="15">
        <f t="shared" si="26"/>
        <v>129894.80797279958</v>
      </c>
      <c r="BF19" s="15">
        <v>73.523859639999998</v>
      </c>
      <c r="BG19" s="15">
        <f t="shared" si="27"/>
        <v>307623.82873375999</v>
      </c>
      <c r="BH19" s="1" t="s">
        <v>91</v>
      </c>
      <c r="BI19" s="12">
        <v>26.508554940000099</v>
      </c>
      <c r="BJ19" s="16">
        <f t="shared" si="28"/>
        <v>110911.79386896042</v>
      </c>
      <c r="BK19" s="12">
        <v>26.0062200600001</v>
      </c>
      <c r="BL19" s="16">
        <f t="shared" si="29"/>
        <v>108810.02473104042</v>
      </c>
      <c r="BM19" s="1">
        <f t="shared" si="30"/>
        <v>0.50233487999999937</v>
      </c>
      <c r="BN19" s="1">
        <v>102</v>
      </c>
      <c r="BO19">
        <v>5.5366</v>
      </c>
      <c r="BP19">
        <v>4.68</v>
      </c>
    </row>
    <row r="20" spans="1:68" x14ac:dyDescent="0.2">
      <c r="A20" s="1">
        <v>19</v>
      </c>
      <c r="B20" s="1" t="s">
        <v>92</v>
      </c>
      <c r="C20" s="1">
        <v>320</v>
      </c>
      <c r="D20" s="1">
        <f t="shared" si="0"/>
        <v>593.15</v>
      </c>
      <c r="E20" s="9">
        <v>2.7507999999999999</v>
      </c>
      <c r="F20" s="9">
        <f t="shared" si="1"/>
        <v>2.7508E-10</v>
      </c>
      <c r="G20" s="9">
        <v>32.96</v>
      </c>
      <c r="H20" s="10">
        <f t="shared" si="2"/>
        <v>3.2959999999999996E-5</v>
      </c>
      <c r="I20" s="1">
        <v>0</v>
      </c>
      <c r="J20" s="1">
        <v>0</v>
      </c>
      <c r="K20" s="1" t="s">
        <v>71</v>
      </c>
      <c r="L20" s="1">
        <v>4</v>
      </c>
      <c r="M20" s="1"/>
      <c r="N20" s="11">
        <v>370.453429908028</v>
      </c>
      <c r="O20" s="11">
        <f t="shared" si="3"/>
        <v>1549977.1507351892</v>
      </c>
      <c r="P20" s="1">
        <v>15.85</v>
      </c>
      <c r="Q20" s="1">
        <v>3.39</v>
      </c>
      <c r="R20" s="1">
        <f t="shared" si="4"/>
        <v>78.175095000000013</v>
      </c>
      <c r="S20" s="1">
        <f t="shared" si="5"/>
        <v>327084.59748000005</v>
      </c>
      <c r="T20" s="12">
        <v>-5.97689615</v>
      </c>
      <c r="U20" s="12">
        <f t="shared" si="6"/>
        <v>5.97689615</v>
      </c>
      <c r="V20" s="12">
        <v>-1.2740190199999999</v>
      </c>
      <c r="W20" s="12">
        <f t="shared" si="7"/>
        <v>1.2740190199999999</v>
      </c>
      <c r="X20" s="12">
        <v>-4.7028771300000001</v>
      </c>
      <c r="Y20" s="12">
        <f t="shared" si="8"/>
        <v>4.7028771300000001</v>
      </c>
      <c r="Z20" s="12">
        <f t="shared" si="9"/>
        <v>108.45069805636501</v>
      </c>
      <c r="AA20" s="13">
        <f t="shared" si="10"/>
        <v>453757.72066783119</v>
      </c>
      <c r="AB20" s="12">
        <v>-5.7325413699999999</v>
      </c>
      <c r="AC20" s="12">
        <f t="shared" si="11"/>
        <v>5.7325413699999999</v>
      </c>
      <c r="AD20" s="12">
        <v>-1.5646325000000001</v>
      </c>
      <c r="AE20" s="12">
        <f t="shared" si="12"/>
        <v>1.5646325000000001</v>
      </c>
      <c r="AF20" s="12">
        <v>-4.4726720699999998</v>
      </c>
      <c r="AG20" s="12">
        <f t="shared" si="13"/>
        <v>4.4726720699999998</v>
      </c>
      <c r="AH20" s="12">
        <f t="shared" si="14"/>
        <v>103.14205427023499</v>
      </c>
      <c r="AI20" s="12">
        <f t="shared" si="15"/>
        <v>431546.35506666324</v>
      </c>
      <c r="AJ20" s="12">
        <v>1</v>
      </c>
      <c r="AK20" s="12">
        <v>0</v>
      </c>
      <c r="AL20" s="1" t="s">
        <v>82</v>
      </c>
      <c r="AM20" s="1" t="s">
        <v>71</v>
      </c>
      <c r="AN20">
        <v>-170.339250190098</v>
      </c>
      <c r="AO20">
        <f t="shared" si="16"/>
        <v>170.339250190098</v>
      </c>
      <c r="AP20" s="14">
        <f t="shared" si="17"/>
        <v>712699.42279536999</v>
      </c>
      <c r="AQ20">
        <v>-114.407603783227</v>
      </c>
      <c r="AR20">
        <f t="shared" si="18"/>
        <v>114.407603783227</v>
      </c>
      <c r="AS20">
        <f t="shared" si="19"/>
        <v>-55.931646406870996</v>
      </c>
      <c r="AT20">
        <f t="shared" si="20"/>
        <v>55.931646406870996</v>
      </c>
      <c r="AU20">
        <v>-122.078568701682</v>
      </c>
      <c r="AV20">
        <f t="shared" si="21"/>
        <v>122.078568701682</v>
      </c>
      <c r="AW20">
        <f t="shared" si="22"/>
        <v>510776.73144783749</v>
      </c>
      <c r="AX20">
        <v>-99.337440751567797</v>
      </c>
      <c r="AY20">
        <f t="shared" si="23"/>
        <v>99.337440751567797</v>
      </c>
      <c r="AZ20" s="15">
        <v>105.05609114000001</v>
      </c>
      <c r="BA20" s="15">
        <f t="shared" si="24"/>
        <v>439554.68532976002</v>
      </c>
      <c r="BB20" s="15">
        <v>37.256789699999899</v>
      </c>
      <c r="BC20" s="15">
        <f t="shared" si="25"/>
        <v>155882.40810479957</v>
      </c>
      <c r="BD20" s="15">
        <v>31.019795949999999</v>
      </c>
      <c r="BE20" s="15">
        <f t="shared" si="26"/>
        <v>129786.82625479999</v>
      </c>
      <c r="BF20" s="15">
        <v>73.318922599999993</v>
      </c>
      <c r="BG20" s="15">
        <f t="shared" si="27"/>
        <v>306766.37215839996</v>
      </c>
      <c r="BH20" s="1" t="s">
        <v>92</v>
      </c>
      <c r="BI20" s="12">
        <v>43.425766199999998</v>
      </c>
      <c r="BJ20" s="16">
        <f t="shared" si="28"/>
        <v>181693.40578079998</v>
      </c>
      <c r="BK20" s="12">
        <v>43.436607959999897</v>
      </c>
      <c r="BL20" s="16">
        <f t="shared" si="29"/>
        <v>181738.76770463955</v>
      </c>
      <c r="BM20" s="1">
        <f t="shared" si="30"/>
        <v>-1.084175999989867E-2</v>
      </c>
      <c r="BN20" s="1">
        <v>103.9</v>
      </c>
      <c r="BO20">
        <v>7.6618000000000004</v>
      </c>
      <c r="BP20">
        <v>6.28</v>
      </c>
    </row>
    <row r="21" spans="1:68" ht="19" x14ac:dyDescent="0.25">
      <c r="A21" s="1">
        <v>20</v>
      </c>
      <c r="B21" s="1" t="s">
        <v>93</v>
      </c>
      <c r="C21" s="1">
        <v>246</v>
      </c>
      <c r="D21" s="1">
        <f t="shared" si="0"/>
        <v>519.15</v>
      </c>
      <c r="E21" s="18">
        <v>2.9365000000000001</v>
      </c>
      <c r="F21" s="9">
        <f t="shared" si="1"/>
        <v>2.9365000000000001E-10</v>
      </c>
      <c r="G21" s="18">
        <v>26.29</v>
      </c>
      <c r="H21" s="10">
        <f t="shared" si="2"/>
        <v>2.6289999999999997E-5</v>
      </c>
      <c r="K21" s="1" t="s">
        <v>66</v>
      </c>
      <c r="N21" s="19">
        <v>364.9790362</v>
      </c>
      <c r="O21" s="11">
        <f t="shared" si="3"/>
        <v>1527072.2874608</v>
      </c>
      <c r="Q21" s="1">
        <v>2.6</v>
      </c>
      <c r="R21" s="1">
        <f>Q21*23.0605</f>
        <v>59.957300000000004</v>
      </c>
      <c r="S21" s="1">
        <f t="shared" si="5"/>
        <v>250861.3432</v>
      </c>
      <c r="X21" s="12">
        <v>-6.9287369300000003</v>
      </c>
      <c r="Y21" s="12">
        <f t="shared" si="8"/>
        <v>6.9287369300000003</v>
      </c>
      <c r="Z21" s="12">
        <f t="shared" si="9"/>
        <v>159.78013797426502</v>
      </c>
      <c r="AA21" s="13">
        <f t="shared" si="10"/>
        <v>668520.09728432482</v>
      </c>
      <c r="AB21" s="12">
        <v>-5.7325413699999999</v>
      </c>
      <c r="AF21" s="12">
        <v>-5.2375732800000003</v>
      </c>
      <c r="AG21" s="12">
        <f t="shared" si="13"/>
        <v>5.2375732800000003</v>
      </c>
      <c r="AH21" s="12">
        <f t="shared" si="14"/>
        <v>120.78105862344002</v>
      </c>
      <c r="AI21" s="12">
        <f t="shared" si="15"/>
        <v>505347.94928047305</v>
      </c>
      <c r="AJ21" s="12">
        <v>1</v>
      </c>
      <c r="AK21" s="12">
        <v>0</v>
      </c>
      <c r="AL21" s="1" t="s">
        <v>82</v>
      </c>
      <c r="AM21" s="1" t="s">
        <v>66</v>
      </c>
      <c r="AN21" s="12">
        <v>-159.941637609542</v>
      </c>
      <c r="AO21">
        <f t="shared" si="16"/>
        <v>159.941637609542</v>
      </c>
      <c r="AP21" s="14">
        <f t="shared" si="17"/>
        <v>669195.81175832369</v>
      </c>
      <c r="AU21" s="12">
        <v>-117.72419365856</v>
      </c>
      <c r="AV21">
        <f t="shared" si="21"/>
        <v>117.72419365856</v>
      </c>
      <c r="AW21">
        <f t="shared" si="22"/>
        <v>492558.02626741503</v>
      </c>
      <c r="AZ21" s="12">
        <v>104.94425941999999</v>
      </c>
      <c r="BA21" s="15">
        <f t="shared" si="24"/>
        <v>439086.78141328</v>
      </c>
      <c r="BB21" s="12">
        <v>33.008751750000002</v>
      </c>
      <c r="BC21" s="15">
        <f t="shared" si="25"/>
        <v>138108.61732200001</v>
      </c>
      <c r="BD21" s="12">
        <v>28.8777112</v>
      </c>
      <c r="BE21" s="15">
        <f t="shared" si="26"/>
        <v>120824.3436608</v>
      </c>
      <c r="BF21" s="12">
        <v>73.565656009999998</v>
      </c>
      <c r="BG21" s="15">
        <f t="shared" si="27"/>
        <v>307798.70474583999</v>
      </c>
      <c r="BI21" s="12">
        <v>176.28865572000001</v>
      </c>
      <c r="BJ21" s="16">
        <f t="shared" si="28"/>
        <v>737591.73553248006</v>
      </c>
      <c r="BK21" s="12">
        <v>174.04824492</v>
      </c>
      <c r="BL21" s="16">
        <f t="shared" si="29"/>
        <v>728217.85674527998</v>
      </c>
    </row>
    <row r="22" spans="1:68" ht="19" x14ac:dyDescent="0.25">
      <c r="A22" s="1">
        <v>21</v>
      </c>
      <c r="B22" s="1" t="s">
        <v>94</v>
      </c>
      <c r="C22" s="1">
        <v>304.8</v>
      </c>
      <c r="D22" s="1">
        <f t="shared" si="0"/>
        <v>577.95000000000005</v>
      </c>
      <c r="E22" s="18">
        <v>2.2881999999999998</v>
      </c>
      <c r="F22" s="9">
        <f t="shared" si="1"/>
        <v>2.2881999999999999E-10</v>
      </c>
      <c r="G22" s="18">
        <v>19.79</v>
      </c>
      <c r="H22" s="10">
        <f t="shared" si="2"/>
        <v>1.9789999999999999E-5</v>
      </c>
      <c r="N22" s="19">
        <v>368.15172469999999</v>
      </c>
      <c r="O22" s="11">
        <f t="shared" si="3"/>
        <v>1540346.8161448</v>
      </c>
      <c r="Q22" s="1">
        <v>1.9</v>
      </c>
      <c r="R22" s="1">
        <f t="shared" si="4"/>
        <v>43.814950000000003</v>
      </c>
      <c r="S22" s="1">
        <f t="shared" si="5"/>
        <v>183321.75080000001</v>
      </c>
      <c r="T22" s="12"/>
      <c r="X22" s="12">
        <v>-6.19540048</v>
      </c>
      <c r="Y22" s="12">
        <f t="shared" si="8"/>
        <v>6.19540048</v>
      </c>
      <c r="Z22" s="12">
        <f t="shared" si="9"/>
        <v>142.86903276904002</v>
      </c>
      <c r="AA22" s="13">
        <f t="shared" si="10"/>
        <v>597764.03310566349</v>
      </c>
      <c r="AF22" s="12">
        <v>-3.4386540700000001</v>
      </c>
      <c r="AG22" s="12">
        <f t="shared" si="13"/>
        <v>3.4386540700000001</v>
      </c>
      <c r="AH22" s="12">
        <f t="shared" si="14"/>
        <v>79.297082181235012</v>
      </c>
      <c r="AI22" s="12">
        <f t="shared" si="15"/>
        <v>331778.99184628727</v>
      </c>
      <c r="AJ22" s="12">
        <v>1</v>
      </c>
      <c r="AK22" s="12">
        <v>0</v>
      </c>
      <c r="AL22" s="1" t="s">
        <v>82</v>
      </c>
      <c r="AM22" s="1" t="s">
        <v>66</v>
      </c>
      <c r="AN22" s="12">
        <v>-169.515691510506</v>
      </c>
      <c r="AO22">
        <f t="shared" si="16"/>
        <v>169.515691510506</v>
      </c>
      <c r="AP22" s="14">
        <f t="shared" si="17"/>
        <v>709253.65327995713</v>
      </c>
      <c r="AU22" s="12">
        <v>-122.10028260057101</v>
      </c>
      <c r="AV22">
        <f t="shared" si="21"/>
        <v>122.10028260057101</v>
      </c>
      <c r="AW22">
        <f t="shared" si="22"/>
        <v>510867.58240078908</v>
      </c>
      <c r="AZ22" s="12">
        <v>105.11789288</v>
      </c>
      <c r="BA22" s="15">
        <f t="shared" si="24"/>
        <v>439813.26380992</v>
      </c>
      <c r="BB22" s="12">
        <v>37.368625450000003</v>
      </c>
      <c r="BC22" s="15">
        <f t="shared" si="25"/>
        <v>156350.32888280001</v>
      </c>
      <c r="BD22" s="12">
        <v>31.348420999999998</v>
      </c>
      <c r="BE22" s="15">
        <f t="shared" si="26"/>
        <v>131161.79346399999</v>
      </c>
      <c r="BF22" s="12">
        <v>73.348584540000004</v>
      </c>
      <c r="BG22" s="15">
        <f t="shared" si="27"/>
        <v>306890.47771536</v>
      </c>
      <c r="BI22" s="12">
        <v>0</v>
      </c>
      <c r="BJ22" s="16">
        <v>0</v>
      </c>
      <c r="BK22" s="12">
        <v>0</v>
      </c>
      <c r="BL22" s="14">
        <v>0</v>
      </c>
      <c r="BM22">
        <v>0</v>
      </c>
    </row>
    <row r="23" spans="1:68" x14ac:dyDescent="0.2">
      <c r="F23" s="9">
        <f t="shared" si="1"/>
        <v>0</v>
      </c>
      <c r="X23" s="12"/>
      <c r="AG23" s="12">
        <f t="shared" si="13"/>
        <v>0</v>
      </c>
      <c r="AH23" s="12">
        <f t="shared" si="14"/>
        <v>0</v>
      </c>
      <c r="AI23" s="12">
        <f t="shared" si="15"/>
        <v>0</v>
      </c>
      <c r="BE23" s="15">
        <f t="shared" si="26"/>
        <v>0</v>
      </c>
      <c r="BJ23" s="16"/>
    </row>
    <row r="24" spans="1:68" x14ac:dyDescent="0.2">
      <c r="BJ24" s="16"/>
    </row>
    <row r="25" spans="1:68" x14ac:dyDescent="0.2">
      <c r="BJ2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Rafiq, Remsha</dc:creator>
  <cp:lastModifiedBy>Rafiq, Remsha</cp:lastModifiedBy>
  <dcterms:created xsi:type="dcterms:W3CDTF">2025-10-14T23:04:55Z</dcterms:created>
  <dcterms:modified xsi:type="dcterms:W3CDTF">2025-10-28T02:39:26Z</dcterms:modified>
</cp:coreProperties>
</file>